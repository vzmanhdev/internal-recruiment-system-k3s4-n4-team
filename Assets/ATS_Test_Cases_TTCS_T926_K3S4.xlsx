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4a5b4a8ad94fd3" /></Relationships>
</file>

<file path=xl/workbook.xml><?xml version="1.0" encoding="utf-8"?>
<x:workbook xmlns:x="http://schemas.openxmlformats.org/spreadsheetml/2006/main">
  <x:sheets>
    <x:sheet xmlns:r="http://schemas.openxmlformats.org/officeDocument/2006/relationships" name="00_Huong_dan" sheetId="1" r:id="R0adf39a306924960"/>
    <x:sheet xmlns:r="http://schemas.openxmlformats.org/officeDocument/2006/relationships" name="01_Dashboard" sheetId="2" r:id="R3bc0cf71a6a944b8"/>
    <x:sheet xmlns:r="http://schemas.openxmlformats.org/officeDocument/2006/relationships" name="02_Test_Cases" sheetId="3" r:id="Rbb88319a32154744"/>
    <x:sheet xmlns:r="http://schemas.openxmlformats.org/officeDocument/2006/relationships" name="03_RTM" sheetId="4" r:id="R534c4cddf8e7450e"/>
    <x:sheet xmlns:r="http://schemas.openxmlformats.org/officeDocument/2006/relationships" name="04_E2E_UAT" sheetId="5" r:id="Rff4a706d27844c62"/>
    <x:sheet xmlns:r="http://schemas.openxmlformats.org/officeDocument/2006/relationships" name="05_Du_lieu_test" sheetId="6" r:id="R276ab79e990a4678"/>
    <x:sheet xmlns:r="http://schemas.openxmlformats.org/officeDocument/2006/relationships" name="06_Bug_Log" sheetId="7" r:id="R736e81a679c041f2"/>
    <x:sheet xmlns:r="http://schemas.openxmlformats.org/officeDocument/2006/relationships" name="07_Can_xac_nhan_PO" sheetId="8" r:id="Rcc4a3761988d4045"/>
    <x:sheet xmlns:r="http://schemas.openxmlformats.org/officeDocument/2006/relationships" name="08_AC_goc" sheetId="9" r:id="R65f5875776fb4777"/>
    <x:sheet xmlns:r="http://schemas.openxmlformats.org/officeDocument/2006/relationships" name="09_Test_Plan" sheetId="10" r:id="R85da5ef67eba496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dd/mm/yyyy"/>
  </x:numFmts>
  <x:fonts count="6">
    <x:font>
      <x:sz val="11"/>
      <x:name val="Carlito"/>
    </x:font>
    <x:font>
      <x:b/>
      <x:sz val="11"/>
      <x:color rgb="FFFFFFFF"/>
      <x:name val="Carlito"/>
    </x:font>
    <x:font>
      <x:sz val="11"/>
      <x:color rgb="FF13324D"/>
      <x:name val="Carlito"/>
    </x:font>
    <x:font>
      <x:b/>
      <x:sz val="11"/>
      <x:color rgb="FF7C570F"/>
      <x:name val="Carlito"/>
    </x:font>
    <x:font>
      <x:b/>
      <x:sz val="11"/>
      <x:color rgb="FF13324D"/>
      <x:name val="Carlito"/>
    </x:font>
    <x:font>
      <x:sz val="11"/>
      <x:color rgb="FF704F12"/>
      <x:name val="Carlito"/>
    </x:font>
  </x:fonts>
  <x:fills count="6">
    <x:fill>
      <x:patternFill patternType="none"/>
    </x:fill>
    <x:fill>
      <x:patternFill patternType="gray125"/>
    </x:fill>
    <x:fill>
      <x:patternFill patternType="solid">
        <x:fgColor rgb="FF13324D"/>
      </x:patternFill>
    </x:fill>
    <x:fill>
      <x:patternFill patternType="solid">
        <x:fgColor rgb="FF0E7490"/>
      </x:patternFill>
    </x:fill>
    <x:fill>
      <x:patternFill patternType="solid">
        <x:fgColor rgb="FFE8F3F8"/>
      </x:patternFill>
    </x:fill>
    <x:fill>
      <x:patternFill patternType="solid">
        <x:fgColor rgb="FFFFF4D5"/>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200" fontId="0" fillId="4" borderId="0" xfId="0" applyNumberFormat="1" applyFont="1" applyFill="1" applyBorder="1"/>
    <x:xf numFmtId="0" fontId="4" fillId="4" borderId="0" xfId="0" applyNumberFormat="1" applyFont="1" applyFill="1" applyBorder="1"/>
    <x:xf numFmtId="200" fontId="4" fillId="4" borderId="0" xfId="0" applyNumberFormat="1" applyFont="1" applyFill="1" applyBorder="1"/>
    <x:xf numFmtId="200" fontId="0" fillId="4" borderId="1" xfId="0" applyNumberFormat="1" applyFont="1" applyFill="1" applyBorder="1"/>
    <x:xf numFmtId="0" fontId="4" fillId="4" borderId="1" xfId="0" applyNumberFormat="1" applyFont="1" applyFill="1" applyBorder="1"/>
    <x:xf numFmtId="200" fontId="4" fillId="4"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cellXfs>
  <x:cellStyles count="1">
    <x:cellStyle name="Normal" xfId="0"/>
  </x:cellStyles>
  <x:dxfs count="5">
    <x:dxf>
      <x:font>
        <x:b/>
        <x:color rgb="FFA01717"/>
      </x:font>
      <x:fill>
        <x:patternFill patternType="solid">
          <x:bgColor rgb="FFFDE3E3"/>
        </x:patternFill>
      </x:fill>
    </x:dxf>
    <x:dxf>
      <x:font>
        <x:color rgb="FF176534"/>
      </x:font>
      <x:fill>
        <x:patternFill patternType="solid">
          <x:bgColor rgb="FFD7F3DF"/>
        </x:patternFill>
      </x:fill>
    </x:dxf>
    <x:dxf>
      <x:font>
        <x:b/>
        <x:color rgb="FFA01717"/>
      </x:font>
      <x:fill>
        <x:patternFill patternType="solid">
          <x:bgColor rgb="FFFDE3E3"/>
        </x:patternFill>
      </x:fill>
    </x:dxf>
    <x:dxf>
      <x:font>
        <x:color rgb="FF815B05"/>
      </x:font>
      <x:fill>
        <x:patternFill patternType="solid">
          <x:bgColor rgb="FFFFF0BF"/>
        </x:patternFill>
      </x:fill>
    </x:dxf>
    <x:dxf>
      <x:font>
        <x:color rgb="FF9B1C1C"/>
      </x:font>
      <x:fill>
        <x:patternFill patternType="solid">
          <x:bgColor rgb="FFFDE3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01fa3bb7b8477e" /><Relationship Type="http://schemas.openxmlformats.org/officeDocument/2006/relationships/theme" Target="/xl/theme/theme1.xml" Id="R9e67eb7194004298" /><Relationship Type="http://schemas.openxmlformats.org/officeDocument/2006/relationships/sharedStrings" Target="/xl/sharedStrings.xml" Id="R67d8fec8aeec473d" /><Relationship Type="http://schemas.openxmlformats.org/officeDocument/2006/relationships/worksheet" Target="/xl/worksheets/sheet1.xml" Id="R0adf39a306924960" /><Relationship Type="http://schemas.openxmlformats.org/officeDocument/2006/relationships/worksheet" Target="/xl/worksheets/sheet2.xml" Id="R3bc0cf71a6a944b8" /><Relationship Type="http://schemas.openxmlformats.org/officeDocument/2006/relationships/worksheet" Target="/xl/worksheets/sheet3.xml" Id="Rbb88319a32154744" /><Relationship Type="http://schemas.openxmlformats.org/officeDocument/2006/relationships/worksheet" Target="/xl/worksheets/sheet4.xml" Id="R534c4cddf8e7450e" /><Relationship Type="http://schemas.openxmlformats.org/officeDocument/2006/relationships/worksheet" Target="/xl/worksheets/sheet5.xml" Id="Rff4a706d27844c62" /><Relationship Type="http://schemas.openxmlformats.org/officeDocument/2006/relationships/worksheet" Target="/xl/worksheets/sheet6.xml" Id="R276ab79e990a4678" /><Relationship Type="http://schemas.openxmlformats.org/officeDocument/2006/relationships/worksheet" Target="/xl/worksheets/sheet7.xml" Id="R736e81a679c041f2" /><Relationship Type="http://schemas.openxmlformats.org/officeDocument/2006/relationships/worksheet" Target="/xl/worksheets/sheet8.xml" Id="Rcc4a3761988d4045" /><Relationship Type="http://schemas.openxmlformats.org/officeDocument/2006/relationships/worksheet" Target="/xl/worksheets/sheet9.xml" Id="R65f5875776fb4777" /><Relationship Type="http://schemas.openxmlformats.org/officeDocument/2006/relationships/worksheet" Target="/xl/worksheets/sheet10.xml" Id="R85da5ef67eba4966" /></Relationships>
</file>

<file path=xl/drawings/_rels/drawing1.xml.rels>&#65279;<?xml version="1.0" encoding="utf-8"?><Relationships xmlns="http://schemas.openxmlformats.org/package/2006/relationships"><Relationship Type="http://schemas.openxmlformats.org/officeDocument/2006/relationships/chart" Target="/xl/drawings/charts/chart1.xml" Id="R41b90a576d25483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Test case theo Epic</a:t>
            </a:r>
          </a:p>
        </c:rich>
      </c:tx>
    </c:title>
    <c:plotArea>
      <c:barChart>
        <c:barDir val="col"/>
        <c:grouping val="clustered"/>
        <c:varyColors val="0"/>
        <c:ser>
          <c:idx val="0"/>
          <c:order val="0"/>
          <c:tx>
            <c:v>Số TC</c:v>
          </c:tx>
          <c:cat>
            <c:strRef>
              <c:f>'01_Dashboard'!$A$17:$A$25</c:f>
              <c:strCache>
                <c:ptCount val="0"/>
              </c:strCache>
            </c:strRef>
          </c:cat>
          <c:val>
            <c:numRef>
              <c:f>'01_Dashboard'!$B$17:$B$25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13</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1b90a576d254834"/>
        </a:graphicData>
      </a:graphic>
    </xdr:graphicFrame>
    <xdr:clientData/>
  </xdr:twoCellAnchor>
</xdr:wsDr>
</file>

<file path=xl/tables/table1.xml><?xml version="1.0" encoding="utf-8"?>
<x:table xmlns:x="http://schemas.openxmlformats.org/spreadsheetml/2006/main" id="1" name="ATSTestCases" displayName="ATSTestCases" ref="A4:W357" headerRowCount="1" totalsRowCount="0" totalsRowShown="0">
  <x:tableColumns count="23">
    <x:tableColumn id="1" name="TC ID"/>
    <x:tableColumn id="2" name="Sprint"/>
    <x:tableColumn id="3" name="Epic"/>
    <x:tableColumn id="4" name="Story ID"/>
    <x:tableColumn id="5" name="AC / nguồn"/>
    <x:tableColumn id="6" name="Module"/>
    <x:tableColumn id="7" name="Kịch bản kiểm thử"/>
    <x:tableColumn id="8" name="Loại test"/>
    <x:tableColumn id="9" name="Mức ưu tiên"/>
    <x:tableColumn id="10" name="Vai trò kiểm thử"/>
    <x:tableColumn id="11" name="Điều kiện tiên quyết"/>
    <x:tableColumn id="12" name="Dữ liệu kiểm thử"/>
    <x:tableColumn id="13" name="Các bước thực hiện"/>
    <x:tableColumn id="14" name="Kết quả mong đợi"/>
    <x:tableColumn id="15" name="Kết quả thực tế"/>
    <x:tableColumn id="16" name="Trạng thái"/>
    <x:tableColumn id="17" name="Bug ID"/>
    <x:tableColumn id="18" name="Người thực hiện"/>
    <x:tableColumn id="19" name="Ngày chạy"/>
    <x:tableColumn id="20" name="Tự động hóa"/>
    <x:tableColumn id="21" name="Ghi chú"/>
    <x:tableColumn id="22" name="Story liên quan"/>
    <x:tableColumn id="23" name="Nguồn thiết kế"/>
  </x:tableColumns>
  <x:tableStyleInfo name="TableStyleMedium2" showFirstColumn="0" showLastColumn="0" showRowStripes="1" showColumnStripes="0"/>
</x:table>
</file>

<file path=xl/tables/table2.xml><?xml version="1.0" encoding="utf-8"?>
<x:table xmlns:x="http://schemas.openxmlformats.org/spreadsheetml/2006/main" id="2" name="ATSRequirementsMatrix" displayName="ATSRequirementsMatrix" ref="A4:P80" headerRowCount="1" totalsRowCount="0" totalsRowShown="0">
  <x:tableColumns count="16">
    <x:tableColumn id="1" name="Story ID"/>
    <x:tableColumn id="2" name="Sprint"/>
    <x:tableColumn id="3" name="Epic"/>
    <x:tableColumn id="4" name="Module"/>
    <x:tableColumn id="5" name="Vai trò"/>
    <x:tableColumn id="6" name="MoSCoW"/>
    <x:tableColumn id="7" name="Point"/>
    <x:tableColumn id="8" name="Mục tiêu User Story"/>
    <x:tableColumn id="9" name="Số AC gốc"/>
    <x:tableColumn id="10" name="Dòng backlog"/>
    <x:tableColumn id="11" name="Tổng TC"/>
    <x:tableColumn id="12" name="TC bám AC"/>
    <x:tableColumn id="13" name="TC bổ sung"/>
    <x:tableColumn id="14" name="Mức phủ AC"/>
    <x:tableColumn id="15" name="TC đã chạy"/>
    <x:tableColumn id="16" name="Trạng thái thực thi"/>
  </x:tableColumns>
  <x:tableStyleInfo name="TableStyleMedium2" showFirstColumn="0" showLastColumn="0" showRowStripes="1" showColumnStripes="0"/>
</x:table>
</file>

<file path=xl/tables/table3.xml><?xml version="1.0" encoding="utf-8"?>
<x:table xmlns:x="http://schemas.openxmlformats.org/spreadsheetml/2006/main" id="3" name="ATSAcSource" displayName="ATSAcSource" ref="A3:I246" headerRowCount="1" totalsRowCount="0" totalsRowShown="0">
  <x:tableColumns count="9">
    <x:tableColumn id="1" name="AC ID"/>
    <x:tableColumn id="2" name="Story ID"/>
    <x:tableColumn id="3" name="Sprint"/>
    <x:tableColumn id="4" name="Epic"/>
    <x:tableColumn id="5" name="Vai trò"/>
    <x:tableColumn id="6" name="AC số"/>
    <x:tableColumn id="7" name="Tiêu chí chấp nhận gốc"/>
    <x:tableColumn id="8" name="Ô nguồn trong backlog"/>
    <x:tableColumn id="9" name="TC đối chiếu"/>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a2c0649b00814f39" /></Relationships>
</file>

<file path=xl/worksheets/_rels/sheet3.xml.rels>&#65279;<?xml version="1.0" encoding="utf-8"?><Relationships xmlns="http://schemas.openxmlformats.org/package/2006/relationships"><Relationship Type="http://schemas.openxmlformats.org/officeDocument/2006/relationships/table" Target="/xl/tables/table1.xml" Id="R91e37e3086094c0b" /></Relationships>
</file>

<file path=xl/worksheets/_rels/sheet4.xml.rels>&#65279;<?xml version="1.0" encoding="utf-8"?><Relationships xmlns="http://schemas.openxmlformats.org/package/2006/relationships"><Relationship Type="http://schemas.openxmlformats.org/officeDocument/2006/relationships/table" Target="/xl/tables/table2.xml" Id="Ref991b1149644280" /></Relationships>
</file>

<file path=xl/worksheets/_rels/sheet9.xml.rels>&#65279;<?xml version="1.0" encoding="utf-8"?><Relationships xmlns="http://schemas.openxmlformats.org/package/2006/relationships"><Relationship Type="http://schemas.openxmlformats.org/officeDocument/2006/relationships/table" Target="/xl/tables/table3.xml" Id="Rf0923dd797b84b88" /></Relationships>
</file>

<file path=xl/worksheets/sheet1.xml><?xml version="1.0" encoding="utf-8"?>
<x:worksheet xmlns:x="http://schemas.openxmlformats.org/spreadsheetml/2006/main">
  <x:sheetFormatPr defaultRowHeight="15"/>
  <x:cols>
    <x:col min="1" max="1" width="25" hidden="0" customWidth="1"/>
    <x:col min="2" max="2" width="71" hidden="0" customWidth="1"/>
    <x:col min="3" max="3" width="15" hidden="0" customWidth="1"/>
    <x:col min="4" max="4" width="25" hidden="0" customWidth="1"/>
    <x:col min="5" max="5" width="74" hidden="0" customWidth="1"/>
    <x:col min="6" max="6" width="16" hidden="0" customWidth="1"/>
    <x:col min="7" max="7" width="12" hidden="0" customWidth="1"/>
    <x:col min="8" max="8" width="12" hidden="0" customWidth="1"/>
  </x:cols>
  <x:sheetData>
    <x:row r="1" ht="36" customHeight="1">
      <x:c r="A1" s="6" t="str">
        <x:v>BỘ TEST CASE – HƯỚNG DẪN SỬ DỤNG</x:v>
      </x:c>
      <x:c r="B1" s="6"/>
      <x:c r="C1" s="6"/>
      <x:c r="D1" s="6"/>
      <x:c r="E1" s="6"/>
      <x:c r="F1" s="6"/>
      <x:c r="G1" s="6"/>
      <x:c r="H1" s="6"/>
    </x:row>
    <x:row r="2">
      <x:c r="A2" t="str">
        <x:v>Dự án</x:v>
      </x:c>
      <x:c r="B2" t="str">
        <x:v>Hệ thống tuyển dụng nội bộ – TTCS_T926_K3S4</x:v>
      </x:c>
    </x:row>
    <x:row r="3">
      <x:c r="A3" t="str">
        <x:v>Căn cứ</x:v>
      </x:c>
      <x:c r="B3" t="str">
        <x:v>Product Overview / User Roles / Epics / Product Backlog / Sprint Plan của file đính kèm</x:v>
      </x:c>
    </x:row>
    <x:row r="4">
      <x:c r="A4" t="str">
        <x:v>Phiên bản</x:v>
      </x:c>
      <x:c r="B4" t="str">
        <x:v>1.0 – 27/09/2026</x:v>
      </x:c>
    </x:row>
    <x:row r="5">
      <x:c r="A5" t="str">
        <x:v>Tình trạng</x:v>
      </x:c>
      <x:c r="B5" t="str">
        <x:v>BỘ CA KIỂM THỬ ĐÃ THIẾT KẾ – CHƯA THỰC THI</x:v>
      </x:c>
    </x:row>
    <x:row r="7" ht="27" customHeight="1">
      <x:c r="A7" s="5" t="str">
        <x:v>01 • PHẠM VI &amp; CẤU TRÚC</x:v>
      </x:c>
      <x:c r="B7" s="5"/>
      <x:c r="C7" s="5"/>
      <x:c r="D7" s="5"/>
      <x:c r="E7" s="5"/>
      <x:c r="F7" s="5"/>
      <x:c r="G7" s="5"/>
      <x:c r="H7" s="5"/>
    </x:row>
    <x:row r="8" ht="34" customHeight="1">
      <x:c r="A8" s="13" t="str">
        <x:v>Chỉ tiêu</x:v>
      </x:c>
      <x:c r="B8" s="13" t="str">
        <x:v>Giá trị</x:v>
      </x:c>
      <x:c r="D8" s="13" t="str">
        <x:v>Sheet</x:v>
      </x:c>
      <x:c r="E8" s="13" t="str">
        <x:v>Nội dung</x:v>
      </x:c>
      <x:c r="F8" t="str"/>
      <x:c r="G8" t="str"/>
      <x:c r="H8" t="str"/>
    </x:row>
    <x:row r="9" ht="35" customHeight="1">
      <x:c r="A9" t="str">
        <x:v>User story</x:v>
      </x:c>
      <x:c r="B9" t="str">
        <x:v>76</x:v>
      </x:c>
      <x:c r="D9" s="18" t="str">
        <x:v>01_Dashboard</x:v>
      </x:c>
      <x:c r="E9" s="18" t="str">
        <x:v>Tổng hợp live theo trạng thái/ưu tiên/Epic</x:v>
      </x:c>
      <x:c r="F9" t="str"/>
      <x:c r="G9" t="str"/>
      <x:c r="H9" t="str"/>
    </x:row>
    <x:row r="10" ht="35" customHeight="1">
      <x:c r="A10" t="str">
        <x:v>Acceptance Criteria</x:v>
      </x:c>
      <x:c r="B10" t="str">
        <x:v>243</x:v>
      </x:c>
      <x:c r="D10" s="18" t="str">
        <x:v>02_Test_Cases</x:v>
      </x:c>
      <x:c r="E10" s="18" t="str">
        <x:v>353 trường hợp; dùng dropdown Trạng thái để cập nhật</x:v>
      </x:c>
      <x:c r="F10" t="str"/>
      <x:c r="G10" t="str"/>
      <x:c r="H10" t="str"/>
    </x:row>
    <x:row r="11" ht="35" customHeight="1">
      <x:c r="A11" t="str">
        <x:v>Test case AC</x:v>
      </x:c>
      <x:c r="B11" t="str">
        <x:v>243</x:v>
      </x:c>
      <x:c r="D11" s="18" t="str">
        <x:v>03_RTM</x:v>
      </x:c>
      <x:c r="E11" s="18" t="str">
        <x:v>Liên kết story – AC – TC và kiểm tra mức phủ</x:v>
      </x:c>
      <x:c r="F11" t="str"/>
      <x:c r="G11" t="str"/>
      <x:c r="H11" t="str"/>
    </x:row>
    <x:row r="12" ht="35" customHeight="1">
      <x:c r="A12" t="str">
        <x:v>Test case rủi ro / boundary</x:v>
      </x:c>
      <x:c r="B12" t="str">
        <x:v>76</x:v>
      </x:c>
      <x:c r="D12" s="18" t="str">
        <x:v>04_E2E_UAT</x:v>
      </x:c>
      <x:c r="E12" s="18" t="str">
        <x:v>8 luồng demo và nghiệm thu theo Sprint</x:v>
      </x:c>
      <x:c r="F12" t="str"/>
      <x:c r="G12" t="str"/>
      <x:c r="H12" t="str"/>
    </x:row>
    <x:row r="13" ht="35" customHeight="1">
      <x:c r="A13" t="str">
        <x:v>Test phi chức năng</x:v>
      </x:c>
      <x:c r="B13" t="str">
        <x:v>26</x:v>
      </x:c>
      <x:c r="D13" s="18" t="str">
        <x:v>05_Du_lieu_test</x:v>
      </x:c>
      <x:c r="E13" s="18" t="str">
        <x:v>Tài khoản/fixture giả lập và quy tắc an toàn dữ liệu</x:v>
      </x:c>
      <x:c r="F13" t="str"/>
      <x:c r="G13" t="str"/>
      <x:c r="H13" t="str"/>
    </x:row>
    <x:row r="14" ht="35" customHeight="1">
      <x:c r="A14" t="str">
        <x:v>Luồng E2E/UAT</x:v>
      </x:c>
      <x:c r="B14" t="str">
        <x:v>8</x:v>
      </x:c>
      <x:c r="D14" s="18" t="str">
        <x:v>06_Bug_Log</x:v>
      </x:c>
      <x:c r="E14" s="18" t="str">
        <x:v>Mẫu ghi nhận lỗi để gắn BUG ID ở Test Cases</x:v>
      </x:c>
      <x:c r="F14" t="str"/>
      <x:c r="G14" t="str"/>
      <x:c r="H14" t="str"/>
    </x:row>
    <x:row r="15" ht="35" customHeight="1">
      <x:c r="D15" s="18" t="str">
        <x:v>07_Can_xac_nhan_PO</x:v>
      </x:c>
      <x:c r="E15" s="18" t="str">
        <x:v>Các điểm mâu thuẫn/chưa rõ cần PO xác nhận</x:v>
      </x:c>
      <x:c r="F15" t="str"/>
      <x:c r="G15" t="str"/>
      <x:c r="H15" t="str"/>
    </x:row>
    <x:row r="17" ht="27" customHeight="1">
      <x:c r="A17" s="5" t="str">
        <x:v>02 • CÁCH THỰC THI</x:v>
      </x:c>
      <x:c r="B17" s="5"/>
      <x:c r="C17" s="5"/>
      <x:c r="D17" s="5" t="str">
        <x:v>03 • QUY ƯỚC</x:v>
      </x:c>
      <x:c r="E17" s="5"/>
      <x:c r="F17" s="5"/>
      <x:c r="G17" s="5"/>
      <x:c r="H17" s="5"/>
    </x:row>
    <x:row r="18" ht="44" customHeight="1">
      <x:c r="A18" s="13" t="str">
        <x:v>Bước</x:v>
      </x:c>
      <x:c r="B18" s="13" t="str">
        <x:v>Hướng dẫn</x:v>
      </x:c>
      <x:c r="C18" s="18"/>
      <x:c r="D18" s="13" t="str">
        <x:v>Trạng thái</x:v>
      </x:c>
      <x:c r="E18" s="13" t="str">
        <x:v>Ý nghĩa</x:v>
      </x:c>
      <x:c r="F18" s="18"/>
      <x:c r="G18" s="18"/>
      <x:c r="H18" s="18"/>
    </x:row>
    <x:row r="19" ht="44" customHeight="1">
      <x:c r="A19" s="18" t="n">
        <x:v>1</x:v>
      </x:c>
      <x:c r="B19" s="18" t="str">
        <x:v>QA lọc theo Sprint / Epic / Story ID và ưu tiên Critical → High → Medium → Low.</x:v>
      </x:c>
      <x:c r="C19" s="18"/>
      <x:c r="D19" s="18" t="str">
        <x:v>Chưa chạy</x:v>
      </x:c>
      <x:c r="E19" s="18" t="str">
        <x:v>Case chỉ mới thiết kế, chưa được QA thực thi</x:v>
      </x:c>
      <x:c r="F19" s="18"/>
      <x:c r="G19" s="18"/>
      <x:c r="H19" s="18"/>
    </x:row>
    <x:row r="20" ht="44" customHeight="1">
      <x:c r="A20" s="18" t="n">
        <x:v>2</x:v>
      </x:c>
      <x:c r="B20" s="18" t="str">
        <x:v>Chuẩn bị tài khoản và dữ liệu giả lập theo 05_Du_lieu_test trên staging, không dùng dữ liệu cá nhân thật.</x:v>
      </x:c>
      <x:c r="C20" s="18"/>
      <x:c r="D20" s="18" t="str">
        <x:v>Pass</x:v>
      </x:c>
      <x:c r="E20" s="18" t="str">
        <x:v>Kết quả thực tế trùng kết quả mong đợi</x:v>
      </x:c>
      <x:c r="F20" s="18"/>
      <x:c r="G20" s="18"/>
      <x:c r="H20" s="18"/>
    </x:row>
    <x:row r="21" ht="44" customHeight="1">
      <x:c r="A21" s="18" t="n">
        <x:v>3</x:v>
      </x:c>
      <x:c r="B21" s="18" t="str">
        <x:v>Thay tên màn hình/URL/API theo bản triển khai thực tế; giữ nguyên AC và kết quả mong đợi được PO duyệt.</x:v>
      </x:c>
      <x:c r="C21" s="18"/>
      <x:c r="D21" s="18" t="str">
        <x:v>Fail</x:v>
      </x:c>
      <x:c r="E21" s="18" t="str">
        <x:v>Có bằng chứng chức năng không đạt kỳ vọng</x:v>
      </x:c>
      <x:c r="F21" s="18"/>
      <x:c r="G21" s="18"/>
      <x:c r="H21" s="18"/>
    </x:row>
    <x:row r="22" ht="44" customHeight="1">
      <x:c r="A22" s="18" t="n">
        <x:v>4</x:v>
      </x:c>
      <x:c r="B22" s="18" t="str">
        <x:v>Thực thi từng TC, ghi Kết quả thực tế, cập nhật trạng thái và ngày/người chạy.</x:v>
      </x:c>
      <x:c r="C22" s="18"/>
      <x:c r="D22" s="18" t="str">
        <x:v>Blocked</x:v>
      </x:c>
      <x:c r="E22" s="18" t="str">
        <x:v>Không chạy được vì môi trường/phụ thuộc lỗi</x:v>
      </x:c>
      <x:c r="F22" s="18"/>
      <x:c r="G22" s="18"/>
      <x:c r="H22" s="18"/>
    </x:row>
    <x:row r="23" ht="44" customHeight="1">
      <x:c r="A23" s="18" t="n">
        <x:v>5</x:v>
      </x:c>
      <x:c r="B23" s="18" t="str">
        <x:v>Nếu Fail, lập bug ở 06_Bug_Log rồi gắn Bug ID trên chính testcase; test lại sau sửa.</x:v>
      </x:c>
      <x:c r="C23" s="18"/>
      <x:c r="D23" s="18" t="str">
        <x:v>N/A</x:v>
      </x:c>
      <x:c r="E23" s="18" t="str">
        <x:v>Chưa triển khai hoặc được PO loại khỏi phạm vi</x:v>
      </x:c>
      <x:c r="F23" s="18"/>
      <x:c r="G23" s="18"/>
      <x:c r="H23" s="18"/>
    </x:row>
    <x:row r="24" ht="44" customHeight="1">
      <x:c r="A24" s="18" t="n">
        <x:v>6</x:v>
      </x:c>
      <x:c r="B24" s="18" t="str">
        <x:v>Đối soát RTM – 100% AC bắt buộc có test; chạy E2E cuối sprint trước demo PO.</x:v>
      </x:c>
      <x:c r="C24" s="18"/>
      <x:c r="D24" s="18" t="str">
        <x:v>Ưu tiên</x:v>
      </x:c>
      <x:c r="E24" s="18" t="str">
        <x:v>Critical: bảo mật/dữ liệu; High: Must; Medium: Should; Low: Could</x:v>
      </x:c>
      <x:c r="F24" s="18"/>
      <x:c r="G24" s="18"/>
      <x:c r="H24" s="18"/>
    </x:row>
    <x:row r="27" ht="45" customHeight="1">
      <x:c r="A27" s="30" t="str">
        <x:v>LƯU Ý: Kết quả mong đợi của các case 'Bổ sung QA' và 'Đề xuất QA' cần được PO xác nhận nếu chưa nằm trong tiêu chí chấp nhận gốc.</x:v>
      </x:c>
      <x:c r="B27" s="30"/>
      <x:c r="C27" s="30"/>
      <x:c r="D27" s="30"/>
      <x:c r="E27" s="30"/>
      <x:c r="F27" s="30"/>
      <x:c r="G27" s="30"/>
      <x:c r="H27" s="30"/>
    </x:row>
  </x:sheetData>
  <x:mergeCells>
    <x:mergeCell ref="A1:H1"/>
    <x:mergeCell ref="B2:D2"/>
    <x:mergeCell ref="B3:D3"/>
    <x:mergeCell ref="A7:H7"/>
    <x:mergeCell ref="A17:H17"/>
    <x:mergeCell ref="D17:H17"/>
    <x:mergeCell ref="A27:H27"/>
  </x:mergeCells>
  <x:pageMargins left="0.7" right="0.7" top="0.75" bottom="0.75" header="0.3" footer="0.3"/>
</x:worksheet>
</file>

<file path=xl/worksheets/sheet2.xml><?xml version="1.0" encoding="utf-8"?>
<x:worksheet xmlns:x="http://schemas.openxmlformats.org/spreadsheetml/2006/main">
  <x:sheetFormatPr defaultRowHeight="15"/>
  <x:cols>
    <x:col min="1" max="1" width="46" hidden="0" customWidth="1"/>
    <x:col min="2" max="2" width="17" hidden="0" customWidth="1"/>
    <x:col min="3" max="3" width="18" hidden="0" customWidth="1"/>
    <x:col min="4" max="4" width="18" hidden="0" customWidth="1"/>
    <x:col min="5" max="5" width="19"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s>
  <x:sheetData>
    <x:row r="1" ht="36" customHeight="1">
      <x:c r="A1" s="6" t="str">
        <x:v>TEST EXECUTION DASHBOARD</x:v>
      </x:c>
      <x:c r="B1" s="6"/>
      <x:c r="C1" s="6"/>
      <x:c r="D1" s="6"/>
      <x:c r="E1" s="6"/>
      <x:c r="F1" s="6"/>
      <x:c r="G1" s="6"/>
      <x:c r="H1" s="6"/>
      <x:c r="I1" s="6"/>
      <x:c r="J1" s="6"/>
      <x:c r="K1" s="6"/>
      <x:c r="L1" s="6"/>
      <x:c r="M1" s="6"/>
    </x:row>
    <x:row r="2">
      <x:c r="A2" t="str">
        <x:v>TTCS_T926_K3S4 – cập nhật tự động khi QA nhập trạng thái trên sheet 02_Test_Cases</x:v>
      </x:c>
    </x:row>
    <x:row r="4" ht="34" customHeight="1">
      <x:c r="A4" s="13" t="str">
        <x:v>CHỈ SỐ</x:v>
      </x:c>
      <x:c r="B4" s="13" t="str">
        <x:v>GIÁ TRỊ</x:v>
      </x:c>
    </x:row>
    <x:row r="5" ht="24" customHeight="1">
      <x:c r="A5" t="str">
        <x:v>Tổng test case</x:v>
      </x:c>
      <x:c r="B5" s="35" t="n">
        <x:f>COUNTA('02_Test_Cases'!$A$5:$A$357)</x:f>
        <x:v>353</x:v>
      </x:c>
    </x:row>
    <x:row r="6" ht="24" customHeight="1">
      <x:c r="A6" t="str">
        <x:v>Backlog / AC</x:v>
      </x:c>
      <x:c r="B6" s="35" t="n">
        <x:f>COUNTIF('02_Test_Cases'!$W$5:$W$357,"Backlog / AC")</x:f>
        <x:v>243</x:v>
      </x:c>
    </x:row>
    <x:row r="7" ht="24" customHeight="1">
      <x:c r="A7" t="str">
        <x:v>Bổ sung QA</x:v>
      </x:c>
      <x:c r="B7" s="35" t="n">
        <x:f>COUNTIF('02_Test_Cases'!$W$5:$W$357,"Bổ sung QA")</x:f>
        <x:v>76</x:v>
      </x:c>
    </x:row>
    <x:row r="8" ht="24" customHeight="1">
      <x:c r="A8" t="str">
        <x:v>Phi chức năng</x:v>
      </x:c>
      <x:c r="B8" s="35" t="n">
        <x:f>COUNTIF('02_Test_Cases'!$C$5:$C$357,"NFR")</x:f>
        <x:v>26</x:v>
      </x:c>
    </x:row>
    <x:row r="9" ht="24" customHeight="1">
      <x:c r="A9" t="str">
        <x:v>E2E / UAT</x:v>
      </x:c>
      <x:c r="B9" s="35" t="n">
        <x:f>COUNTIF('02_Test_Cases'!$C$5:$C$357,"E2E")</x:f>
        <x:v>8</x:v>
      </x:c>
    </x:row>
    <x:row r="10" ht="24" customHeight="1">
      <x:c r="A10" t="str">
        <x:v>Đã chạy</x:v>
      </x:c>
      <x:c r="B10" s="35" t="n">
        <x:f>COUNTIF('02_Test_Cases'!$P$5:$P$357,"Pass")+COUNTIF('02_Test_Cases'!$P$5:$P$357,"Fail")+COUNTIF('02_Test_Cases'!$P$5:$P$357,"Blocked")</x:f>
        <x:v>0</x:v>
      </x:c>
    </x:row>
    <x:row r="11" ht="24" customHeight="1">
      <x:c r="A11" t="str">
        <x:v>Pass</x:v>
      </x:c>
      <x:c r="B11" s="35" t="n">
        <x:f>COUNTIF('02_Test_Cases'!$P$5:$P$357,"Pass")</x:f>
        <x:v>0</x:v>
      </x:c>
    </x:row>
    <x:row r="12" ht="24" customHeight="1">
      <x:c r="A12" t="str">
        <x:v>Fail</x:v>
      </x:c>
      <x:c r="B12" s="35" t="n">
        <x:f>COUNTIF('02_Test_Cases'!$P$5:$P$357,"Fail")</x:f>
        <x:v>0</x:v>
      </x:c>
    </x:row>
    <x:row r="13" ht="24" customHeight="1">
      <x:c r="A13" t="str">
        <x:v>Blocked</x:v>
      </x:c>
      <x:c r="B13" s="35" t="n">
        <x:f>COUNTIF('02_Test_Cases'!$P$5:$P$357,"Blocked")</x:f>
        <x:v>0</x:v>
      </x:c>
    </x:row>
    <x:row r="14" ht="24" customHeight="1">
      <x:c r="A14" t="str">
        <x:v>Tỷ lệ Pass (trên TC đã chạy)</x:v>
      </x:c>
      <x:c r="B14" s="36" t="n">
        <x:f>IFERROR(B11/B10,0)</x:f>
        <x:v>0</x:v>
      </x:c>
    </x:row>
    <x:row r="16" ht="34" customHeight="1">
      <x:c r="A16" s="13" t="str">
        <x:v>Epic</x:v>
      </x:c>
      <x:c r="B16" s="13" t="str">
        <x:v>Số TC</x:v>
      </x:c>
      <x:c r="C16" s="13" t="str">
        <x:v>Pass</x:v>
      </x:c>
      <x:c r="D16" s="13" t="str">
        <x:v>Fail</x:v>
      </x:c>
    </x:row>
    <x:row r="17" ht="23" customHeight="1">
      <x:c r="A17" t="str">
        <x:v>EP-01 • Tài khoản &amp; Phân quyền</x:v>
      </x:c>
      <x:c r="B17" t="n">
        <x:f>COUNTIF('02_Test_Cases'!$C$5:$C$357,"EP-01")</x:f>
        <x:v>52</x:v>
      </x:c>
      <x:c r="C17" t="n">
        <x:f>COUNTIFS('02_Test_Cases'!$C$5:$C$357,"EP-01",'02_Test_Cases'!$P$5:$P$357,"Pass")</x:f>
        <x:v>0</x:v>
      </x:c>
      <x:c r="D17" t="n">
        <x:f>COUNTIFS('02_Test_Cases'!$C$5:$C$357,"EP-01",'02_Test_Cases'!$P$5:$P$357,"Fail")</x:f>
        <x:v>0</x:v>
      </x:c>
    </x:row>
    <x:row r="18" ht="23" customHeight="1">
      <x:c r="A18" t="str">
        <x:v>EP-02 • Danh mục tổ chức</x:v>
      </x:c>
      <x:c r="B18" t="n">
        <x:f>COUNTIF('02_Test_Cases'!$C$5:$C$357,"EP-02")</x:f>
        <x:v>21</x:v>
      </x:c>
      <x:c r="C18" t="n">
        <x:f>COUNTIFS('02_Test_Cases'!$C$5:$C$357,"EP-02",'02_Test_Cases'!$P$5:$P$357,"Pass")</x:f>
        <x:v>0</x:v>
      </x:c>
      <x:c r="D18" t="n">
        <x:f>COUNTIFS('02_Test_Cases'!$C$5:$C$357,"EP-02",'02_Test_Cases'!$P$5:$P$357,"Fail")</x:f>
        <x:v>0</x:v>
      </x:c>
    </x:row>
    <x:row r="19" ht="23" customHeight="1">
      <x:c r="A19" t="str">
        <x:v>EP-03 • Yêu cầu &amp; Phê duyệt</x:v>
      </x:c>
      <x:c r="B19" t="n">
        <x:f>COUNTIF('02_Test_Cases'!$C$5:$C$357,"EP-03")</x:f>
        <x:v>37</x:v>
      </x:c>
      <x:c r="C19" t="n">
        <x:f>COUNTIFS('02_Test_Cases'!$C$5:$C$357,"EP-03",'02_Test_Cases'!$P$5:$P$357,"Pass")</x:f>
        <x:v>0</x:v>
      </x:c>
      <x:c r="D19" t="n">
        <x:f>COUNTIFS('02_Test_Cases'!$C$5:$C$357,"EP-03",'02_Test_Cases'!$P$5:$P$357,"Fail")</x:f>
        <x:v>0</x:v>
      </x:c>
    </x:row>
    <x:row r="20" ht="23" customHeight="1">
      <x:c r="A20" t="str">
        <x:v>EP-04 • Đăng tin &amp; Ứng tuyển</x:v>
      </x:c>
      <x:c r="B20" t="n">
        <x:f>COUNTIF('02_Test_Cases'!$C$5:$C$357,"EP-04")</x:f>
        <x:v>45</x:v>
      </x:c>
      <x:c r="C20" t="n">
        <x:f>COUNTIFS('02_Test_Cases'!$C$5:$C$357,"EP-04",'02_Test_Cases'!$P$5:$P$357,"Pass")</x:f>
        <x:v>0</x:v>
      </x:c>
      <x:c r="D20" t="n">
        <x:f>COUNTIFS('02_Test_Cases'!$C$5:$C$357,"EP-04",'02_Test_Cases'!$P$5:$P$357,"Fail")</x:f>
        <x:v>0</x:v>
      </x:c>
    </x:row>
    <x:row r="21" ht="23" customHeight="1">
      <x:c r="A21" t="str">
        <x:v>EP-05 • Hồ sơ &amp; Pipeline</x:v>
      </x:c>
      <x:c r="B21" t="n">
        <x:f>COUNTIF('02_Test_Cases'!$C$5:$C$357,"EP-05")</x:f>
        <x:v>44</x:v>
      </x:c>
      <x:c r="C21" t="n">
        <x:f>COUNTIFS('02_Test_Cases'!$C$5:$C$357,"EP-05",'02_Test_Cases'!$P$5:$P$357,"Pass")</x:f>
        <x:v>0</x:v>
      </x:c>
      <x:c r="D21" t="n">
        <x:f>COUNTIFS('02_Test_Cases'!$C$5:$C$357,"EP-05",'02_Test_Cases'!$P$5:$P$357,"Fail")</x:f>
        <x:v>0</x:v>
      </x:c>
    </x:row>
    <x:row r="22" ht="23" customHeight="1">
      <x:c r="A22" t="str">
        <x:v>EP-06 • Phỏng vấn &amp; Đánh giá</x:v>
      </x:c>
      <x:c r="B22" t="n">
        <x:f>COUNTIF('02_Test_Cases'!$C$5:$C$357,"EP-06")</x:f>
        <x:v>50</x:v>
      </x:c>
      <x:c r="C22" t="n">
        <x:f>COUNTIFS('02_Test_Cases'!$C$5:$C$357,"EP-06",'02_Test_Cases'!$P$5:$P$357,"Pass")</x:f>
        <x:v>0</x:v>
      </x:c>
      <x:c r="D22" t="n">
        <x:f>COUNTIFS('02_Test_Cases'!$C$5:$C$357,"EP-06",'02_Test_Cases'!$P$5:$P$357,"Fail")</x:f>
        <x:v>0</x:v>
      </x:c>
    </x:row>
    <x:row r="23" ht="23" customHeight="1">
      <x:c r="A23" t="str">
        <x:v>EP-07 • Offer &amp; Onboarding</x:v>
      </x:c>
      <x:c r="B23" t="n">
        <x:f>COUNTIF('02_Test_Cases'!$C$5:$C$357,"EP-07")</x:f>
        <x:v>23</x:v>
      </x:c>
      <x:c r="C23" t="n">
        <x:f>COUNTIFS('02_Test_Cases'!$C$5:$C$357,"EP-07",'02_Test_Cases'!$P$5:$P$357,"Pass")</x:f>
        <x:v>0</x:v>
      </x:c>
      <x:c r="D23" t="n">
        <x:f>COUNTIFS('02_Test_Cases'!$C$5:$C$357,"EP-07",'02_Test_Cases'!$P$5:$P$357,"Fail")</x:f>
        <x:v>0</x:v>
      </x:c>
    </x:row>
    <x:row r="24" ht="23" customHeight="1">
      <x:c r="A24" t="str">
        <x:v>EP-08 • Thông báo &amp; Email</x:v>
      </x:c>
      <x:c r="B24" t="n">
        <x:f>COUNTIF('02_Test_Cases'!$C$5:$C$357,"EP-08")</x:f>
        <x:v>25</x:v>
      </x:c>
      <x:c r="C24" t="n">
        <x:f>COUNTIFS('02_Test_Cases'!$C$5:$C$357,"EP-08",'02_Test_Cases'!$P$5:$P$357,"Pass")</x:f>
        <x:v>0</x:v>
      </x:c>
      <x:c r="D24" t="n">
        <x:f>COUNTIFS('02_Test_Cases'!$C$5:$C$357,"EP-08",'02_Test_Cases'!$P$5:$P$357,"Fail")</x:f>
        <x:v>0</x:v>
      </x:c>
    </x:row>
    <x:row r="25" ht="23" customHeight="1">
      <x:c r="A25" t="str">
        <x:v>EP-09 • Báo cáo &amp; Dashboard</x:v>
      </x:c>
      <x:c r="B25" t="n">
        <x:f>COUNTIF('02_Test_Cases'!$C$5:$C$357,"EP-09")</x:f>
        <x:v>22</x:v>
      </x:c>
      <x:c r="C25" t="n">
        <x:f>COUNTIFS('02_Test_Cases'!$C$5:$C$357,"EP-09",'02_Test_Cases'!$P$5:$P$357,"Pass")</x:f>
        <x:v>0</x:v>
      </x:c>
      <x:c r="D25" t="n">
        <x:f>COUNTIFS('02_Test_Cases'!$C$5:$C$357,"EP-09",'02_Test_Cases'!$P$5:$P$357,"Fail")</x:f>
        <x:v>0</x:v>
      </x:c>
    </x:row>
    <x:row r="28" ht="34" customHeight="1">
      <x:c r="A28" s="13" t="str">
        <x:v>Sprint</x:v>
      </x:c>
      <x:c r="B28" s="13" t="str">
        <x:v>Số TC</x:v>
      </x:c>
      <x:c r="C28" s="13" t="str">
        <x:v>Đã chạy</x:v>
      </x:c>
      <x:c r="D28" s="13" t="str">
        <x:v>Pass</x:v>
      </x:c>
      <x:c r="E28" s="13" t="str">
        <x:v>Fail</x:v>
      </x:c>
    </x:row>
    <x:row r="29" ht="23" customHeight="1">
      <x:c r="A29" t="n">
        <x:v>1</x:v>
      </x:c>
      <x:c r="B29" t="n">
        <x:f>COUNTIF('02_Test_Cases'!$B$5:$B$357,A29)</x:f>
        <x:v>42</x:v>
      </x:c>
      <x:c r="C29" t="n">
        <x:f>COUNTIFS('02_Test_Cases'!$B$5:$B$357,A29,'02_Test_Cases'!$P$5:$P$357,"&lt;&gt;Chưa chạy",'02_Test_Cases'!$P$5:$P$357,"&lt;&gt;")</x:f>
        <x:v>0</x:v>
      </x:c>
      <x:c r="D29" t="n">
        <x:f>COUNTIFS('02_Test_Cases'!$B$5:$B$357,A29,'02_Test_Cases'!$P$5:$P$357,"Pass")</x:f>
        <x:v>0</x:v>
      </x:c>
      <x:c r="E29" t="n">
        <x:f>COUNTIFS('02_Test_Cases'!$B$5:$B$357,A29,'02_Test_Cases'!$P$5:$P$357,"Fail")</x:f>
        <x:v>0</x:v>
      </x:c>
    </x:row>
    <x:row r="30" ht="23" customHeight="1">
      <x:c r="A30" t="n">
        <x:v>2</x:v>
      </x:c>
      <x:c r="B30" t="n">
        <x:f>COUNTIF('02_Test_Cases'!$B$5:$B$357,A30)</x:f>
        <x:v>41</x:v>
      </x:c>
      <x:c r="C30" t="n">
        <x:f>COUNTIFS('02_Test_Cases'!$B$5:$B$357,A30,'02_Test_Cases'!$P$5:$P$357,"&lt;&gt;Chưa chạy",'02_Test_Cases'!$P$5:$P$357,"&lt;&gt;")</x:f>
        <x:v>0</x:v>
      </x:c>
      <x:c r="D30" t="n">
        <x:f>COUNTIFS('02_Test_Cases'!$B$5:$B$357,A30,'02_Test_Cases'!$P$5:$P$357,"Pass")</x:f>
        <x:v>0</x:v>
      </x:c>
      <x:c r="E30" t="n">
        <x:f>COUNTIFS('02_Test_Cases'!$B$5:$B$357,A30,'02_Test_Cases'!$P$5:$P$357,"Fail")</x:f>
        <x:v>0</x:v>
      </x:c>
    </x:row>
    <x:row r="31" ht="23" customHeight="1">
      <x:c r="A31" t="n">
        <x:v>3</x:v>
      </x:c>
      <x:c r="B31" t="n">
        <x:f>COUNTIF('02_Test_Cases'!$B$5:$B$357,A31)</x:f>
        <x:v>41</x:v>
      </x:c>
      <x:c r="C31" t="n">
        <x:f>COUNTIFS('02_Test_Cases'!$B$5:$B$357,A31,'02_Test_Cases'!$P$5:$P$357,"&lt;&gt;Chưa chạy",'02_Test_Cases'!$P$5:$P$357,"&lt;&gt;")</x:f>
        <x:v>0</x:v>
      </x:c>
      <x:c r="D31" t="n">
        <x:f>COUNTIFS('02_Test_Cases'!$B$5:$B$357,A31,'02_Test_Cases'!$P$5:$P$357,"Pass")</x:f>
        <x:v>0</x:v>
      </x:c>
      <x:c r="E31" t="n">
        <x:f>COUNTIFS('02_Test_Cases'!$B$5:$B$357,A31,'02_Test_Cases'!$P$5:$P$357,"Fail")</x:f>
        <x:v>0</x:v>
      </x:c>
    </x:row>
    <x:row r="32" ht="23" customHeight="1">
      <x:c r="A32" t="n">
        <x:v>4</x:v>
      </x:c>
      <x:c r="B32" t="n">
        <x:f>COUNTIF('02_Test_Cases'!$B$5:$B$357,A32)</x:f>
        <x:v>39</x:v>
      </x:c>
      <x:c r="C32" t="n">
        <x:f>COUNTIFS('02_Test_Cases'!$B$5:$B$357,A32,'02_Test_Cases'!$P$5:$P$357,"&lt;&gt;Chưa chạy",'02_Test_Cases'!$P$5:$P$357,"&lt;&gt;")</x:f>
        <x:v>0</x:v>
      </x:c>
      <x:c r="D32" t="n">
        <x:f>COUNTIFS('02_Test_Cases'!$B$5:$B$357,A32,'02_Test_Cases'!$P$5:$P$357,"Pass")</x:f>
        <x:v>0</x:v>
      </x:c>
      <x:c r="E32" t="n">
        <x:f>COUNTIFS('02_Test_Cases'!$B$5:$B$357,A32,'02_Test_Cases'!$P$5:$P$357,"Fail")</x:f>
        <x:v>0</x:v>
      </x:c>
    </x:row>
    <x:row r="33" ht="23" customHeight="1">
      <x:c r="A33" t="n">
        <x:v>5</x:v>
      </x:c>
      <x:c r="B33" t="n">
        <x:f>COUNTIF('02_Test_Cases'!$B$5:$B$357,A33)</x:f>
        <x:v>41</x:v>
      </x:c>
      <x:c r="C33" t="n">
        <x:f>COUNTIFS('02_Test_Cases'!$B$5:$B$357,A33,'02_Test_Cases'!$P$5:$P$357,"&lt;&gt;Chưa chạy",'02_Test_Cases'!$P$5:$P$357,"&lt;&gt;")</x:f>
        <x:v>0</x:v>
      </x:c>
      <x:c r="D33" t="n">
        <x:f>COUNTIFS('02_Test_Cases'!$B$5:$B$357,A33,'02_Test_Cases'!$P$5:$P$357,"Pass")</x:f>
        <x:v>0</x:v>
      </x:c>
      <x:c r="E33" t="n">
        <x:f>COUNTIFS('02_Test_Cases'!$B$5:$B$357,A33,'02_Test_Cases'!$P$5:$P$357,"Fail")</x:f>
        <x:v>0</x:v>
      </x:c>
    </x:row>
    <x:row r="34" ht="23" customHeight="1">
      <x:c r="A34" t="n">
        <x:v>6</x:v>
      </x:c>
      <x:c r="B34" t="n">
        <x:f>COUNTIF('02_Test_Cases'!$B$5:$B$357,A34)</x:f>
        <x:v>42</x:v>
      </x:c>
      <x:c r="C34" t="n">
        <x:f>COUNTIFS('02_Test_Cases'!$B$5:$B$357,A34,'02_Test_Cases'!$P$5:$P$357,"&lt;&gt;Chưa chạy",'02_Test_Cases'!$P$5:$P$357,"&lt;&gt;")</x:f>
        <x:v>0</x:v>
      </x:c>
      <x:c r="D34" t="n">
        <x:f>COUNTIFS('02_Test_Cases'!$B$5:$B$357,A34,'02_Test_Cases'!$P$5:$P$357,"Pass")</x:f>
        <x:v>0</x:v>
      </x:c>
      <x:c r="E34" t="n">
        <x:f>COUNTIFS('02_Test_Cases'!$B$5:$B$357,A34,'02_Test_Cases'!$P$5:$P$357,"Fail")</x:f>
        <x:v>0</x:v>
      </x:c>
    </x:row>
    <x:row r="35" ht="23" customHeight="1">
      <x:c r="A35" t="n">
        <x:v>7</x:v>
      </x:c>
      <x:c r="B35" t="n">
        <x:f>COUNTIF('02_Test_Cases'!$B$5:$B$357,A35)</x:f>
        <x:v>41</x:v>
      </x:c>
      <x:c r="C35" t="n">
        <x:f>COUNTIFS('02_Test_Cases'!$B$5:$B$357,A35,'02_Test_Cases'!$P$5:$P$357,"&lt;&gt;Chưa chạy",'02_Test_Cases'!$P$5:$P$357,"&lt;&gt;")</x:f>
        <x:v>0</x:v>
      </x:c>
      <x:c r="D35" t="n">
        <x:f>COUNTIFS('02_Test_Cases'!$B$5:$B$357,A35,'02_Test_Cases'!$P$5:$P$357,"Pass")</x:f>
        <x:v>0</x:v>
      </x:c>
      <x:c r="E35" t="n">
        <x:f>COUNTIFS('02_Test_Cases'!$B$5:$B$357,A35,'02_Test_Cases'!$P$5:$P$357,"Fail")</x:f>
        <x:v>0</x:v>
      </x:c>
    </x:row>
    <x:row r="36" ht="23" customHeight="1">
      <x:c r="A36" t="n">
        <x:v>8</x:v>
      </x:c>
      <x:c r="B36" t="n">
        <x:f>COUNTIF('02_Test_Cases'!$B$5:$B$357,A36)</x:f>
        <x:v>40</x:v>
      </x:c>
      <x:c r="C36" t="n">
        <x:f>COUNTIFS('02_Test_Cases'!$B$5:$B$357,A36,'02_Test_Cases'!$P$5:$P$357,"&lt;&gt;Chưa chạy",'02_Test_Cases'!$P$5:$P$357,"&lt;&gt;")</x:f>
        <x:v>0</x:v>
      </x:c>
      <x:c r="D36" t="n">
        <x:f>COUNTIFS('02_Test_Cases'!$B$5:$B$357,A36,'02_Test_Cases'!$P$5:$P$357,"Pass")</x:f>
        <x:v>0</x:v>
      </x:c>
      <x:c r="E36" t="n">
        <x:f>COUNTIFS('02_Test_Cases'!$B$5:$B$357,A36,'02_Test_Cases'!$P$5:$P$357,"Fail")</x:f>
        <x:v>0</x:v>
      </x:c>
    </x:row>
    <x:row r="39" ht="26" customHeight="1">
      <x:c r="A39" s="40" t="str">
        <x:v>Lưu ý: số TC theo Sprint chưa bao gồm 26 TC NFR xuyên sprint; chưa có TC nào được thực thi.</x:v>
      </x:c>
      <x:c r="B39" s="40"/>
      <x:c r="C39" s="40"/>
      <x:c r="D39" s="40"/>
      <x:c r="E39" s="40"/>
      <x:c r="F39" s="40"/>
      <x:c r="G39" s="40"/>
      <x:c r="H39" s="40"/>
      <x:c r="I39" s="40"/>
      <x:c r="J39" s="40"/>
      <x:c r="K39" s="40"/>
      <x:c r="L39" s="40"/>
      <x:c r="M39" s="40"/>
    </x:row>
  </x:sheetData>
  <x:mergeCells>
    <x:mergeCell ref="A1:M1"/>
  </x:mergeCells>
  <x:pageMargins left="0.7" right="0.7" top="0.75" bottom="0.75" header="0.3" footer="0.3"/>
  <x:drawing xmlns:r="http://schemas.openxmlformats.org/officeDocument/2006/relationships" r:id="Ra2c0649b00814f39"/>
</x:worksheet>
</file>

<file path=xl/worksheets/sheet3.xml><?xml version="1.0" encoding="utf-8"?>
<x:worksheet xmlns:x="http://schemas.openxmlformats.org/spreadsheetml/2006/main">
  <x:sheetFormatPr defaultRowHeight="15"/>
  <x:cols>
    <x:col min="1" max="1" width="19" hidden="0" customWidth="1"/>
    <x:col min="2" max="2" width="9" hidden="0" customWidth="1"/>
    <x:col min="3" max="3" width="13" hidden="0" customWidth="1"/>
    <x:col min="4" max="4" width="13" hidden="0" customWidth="1"/>
    <x:col min="5" max="5" width="21" hidden="0" customWidth="1"/>
    <x:col min="6" max="6" width="26" hidden="0" customWidth="1"/>
    <x:col min="7" max="7" width="65" hidden="0" customWidth="1"/>
    <x:col min="8" max="8" width="21" hidden="0" customWidth="1"/>
    <x:col min="9" max="9" width="13" hidden="0" customWidth="1"/>
    <x:col min="10" max="10" width="23" hidden="0" customWidth="1"/>
    <x:col min="11" max="11" width="51" hidden="0" customWidth="1"/>
    <x:col min="12" max="12" width="42" hidden="0" customWidth="1"/>
    <x:col min="13" max="13" width="86" hidden="0" customWidth="1"/>
    <x:col min="14" max="14" width="82" hidden="0" customWidth="1"/>
    <x:col min="15" max="15" width="58" hidden="0" customWidth="1"/>
    <x:col min="16" max="16" width="15" hidden="0" customWidth="1"/>
    <x:col min="17" max="17" width="16" hidden="0" customWidth="1"/>
    <x:col min="18" max="18" width="22" hidden="0" customWidth="1"/>
    <x:col min="19" max="19" width="17" hidden="0" customWidth="1"/>
    <x:col min="20" max="20" width="25" hidden="0" customWidth="1"/>
    <x:col min="21" max="21" width="54" hidden="0" customWidth="1"/>
    <x:col min="22" max="22" width="37" hidden="0" customWidth="1"/>
    <x:col min="23" max="23" width="23" hidden="0" customWidth="1"/>
  </x:cols>
  <x:sheetData>
    <x:row r="1" ht="36" customHeight="1">
      <x:c r="A1" s="6" t="str">
        <x:v>BỘ TEST CASE | HỆ THỐNG TUYỂN DỤNG NỘI BỘ</x:v>
      </x:c>
      <x:c r="B1" s="6"/>
      <x:c r="C1" s="6"/>
      <x:c r="D1" s="6"/>
      <x:c r="E1" s="6"/>
      <x:c r="F1" s="6"/>
      <x:c r="G1" s="6"/>
      <x:c r="H1" s="6"/>
      <x:c r="I1" s="6"/>
      <x:c r="J1" s="6"/>
      <x:c r="K1" s="6"/>
      <x:c r="L1" s="6"/>
      <x:c r="M1" s="6"/>
      <x:c r="N1" s="6"/>
      <x:c r="O1" s="6"/>
      <x:c r="P1" s="6"/>
      <x:c r="Q1" s="6"/>
      <x:c r="R1" s="6"/>
      <x:c r="S1" s="6"/>
      <x:c r="T1" s="6"/>
      <x:c r="U1" s="6"/>
      <x:c r="V1" s="6"/>
      <x:c r="W1" s="6"/>
    </x:row>
    <x:row r="2" ht="24" customHeight="1">
      <x:c r="A2" s="23" t="str">
        <x:v>TTCS_T926_K3S4 • 76 User Story • 9 Epic • 8 Sprint • Thiết kế theo 243 Acceptance Criteria + kiểm thử bổ sung</x:v>
      </x:c>
      <x:c r="B2" s="23"/>
      <x:c r="C2" s="23"/>
      <x:c r="D2" s="23"/>
      <x:c r="E2" s="23"/>
      <x:c r="F2" s="23"/>
      <x:c r="G2" s="23"/>
      <x:c r="H2" s="23"/>
      <x:c r="I2" s="23"/>
      <x:c r="J2" s="23"/>
      <x:c r="K2" s="23"/>
      <x:c r="L2" s="23"/>
      <x:c r="M2" s="23"/>
    </x:row>
    <x:row r="4" ht="34" customHeight="1">
      <x:c r="A4" s="13" t="str">
        <x:v>TC ID</x:v>
      </x:c>
      <x:c r="B4" s="13" t="str">
        <x:v>Sprint</x:v>
      </x:c>
      <x:c r="C4" s="13" t="str">
        <x:v>Epic</x:v>
      </x:c>
      <x:c r="D4" s="13" t="str">
        <x:v>Story ID</x:v>
      </x:c>
      <x:c r="E4" s="13" t="str">
        <x:v>AC / nguồn</x:v>
      </x:c>
      <x:c r="F4" s="13" t="str">
        <x:v>Module</x:v>
      </x:c>
      <x:c r="G4" s="13" t="str">
        <x:v>Kịch bản kiểm thử</x:v>
      </x:c>
      <x:c r="H4" s="13" t="str">
        <x:v>Loại test</x:v>
      </x:c>
      <x:c r="I4" s="13" t="str">
        <x:v>Mức ưu tiên</x:v>
      </x:c>
      <x:c r="J4" s="13" t="str">
        <x:v>Vai trò kiểm thử</x:v>
      </x:c>
      <x:c r="K4" s="13" t="str">
        <x:v>Điều kiện tiên quyết</x:v>
      </x:c>
      <x:c r="L4" s="13" t="str">
        <x:v>Dữ liệu kiểm thử</x:v>
      </x:c>
      <x:c r="M4" s="13" t="str">
        <x:v>Các bước thực hiện</x:v>
      </x:c>
      <x:c r="N4" s="13" t="str">
        <x:v>Kết quả mong đợi</x:v>
      </x:c>
      <x:c r="O4" s="13" t="str">
        <x:v>Kết quả thực tế</x:v>
      </x:c>
      <x:c r="P4" s="13" t="str">
        <x:v>Trạng thái</x:v>
      </x:c>
      <x:c r="Q4" s="13" t="str">
        <x:v>Bug ID</x:v>
      </x:c>
      <x:c r="R4" s="13" t="str">
        <x:v>Người thực hiện</x:v>
      </x:c>
      <x:c r="S4" s="13" t="str">
        <x:v>Ngày chạy</x:v>
      </x:c>
      <x:c r="T4" s="13" t="str">
        <x:v>Tự động hóa</x:v>
      </x:c>
      <x:c r="U4" s="13" t="str">
        <x:v>Ghi chú</x:v>
      </x:c>
      <x:c r="V4" s="13" t="str">
        <x:v>Story liên quan</x:v>
      </x:c>
      <x:c r="W4" s="13" t="str">
        <x:v>Nguồn thiết kế</x:v>
      </x:c>
    </x:row>
    <x:row r="5" ht="92" customHeight="1">
      <x:c r="A5" s="20" t="str">
        <x:v>TC-S1-01-01</x:v>
      </x:c>
      <x:c r="B5" s="20" t="n">
        <x:v>1</x:v>
      </x:c>
      <x:c r="C5" s="20" t="str">
        <x:v>EP-01</x:v>
      </x:c>
      <x:c r="D5" s="20" t="str">
        <x:v>S1-01</x:v>
      </x:c>
      <x:c r="E5" s="20" t="str">
        <x:v>S1-01-AC01</x:v>
      </x:c>
      <x:c r="F5" s="20" t="str">
        <x:v>Tài khoản &amp; Phân quyền</x:v>
      </x:c>
      <x:c r="G5" s="20" t="str">
        <x:v>Đăng nhập đúng thì vào được trang chủ tương ứng với vai trò</x:v>
      </x:c>
      <x:c r="H5" s="20" t="str">
        <x:v>Functional</x:v>
      </x:c>
      <x:c r="I5" s="20" t="str">
        <x:v>Critical</x:v>
      </x:c>
      <x:c r="J5" s="20" t="str">
        <x:v>nhân sự nội bộ</x:v>
      </x:c>
      <x:c r="K5" s="20" t="str">
        <x:v>Có staging, 7 tài khoản mẫu theo đúng vai trò; email test nội bộ.</x:v>
      </x:c>
      <x:c r="L5" s="20" t="str">
        <x:v>admin@ats.test; recruiter.a@ats.test; manager.a@ats.test; interviewer.a@ats.test</x:v>
      </x:c>
      <x:c r="M5" s="20" t="str">
        <x:v>1. Chuẩn bị dữ liệu: Có staging, 7 tài khoản mẫu theo đúng vai trò; email test nội bộ.
2. Đăng nhập bằng tài khoản vai trò 'nhân sự nội bộ' được phép thao tác.
3. Mở chức năng 'đăng nhập bằng email công ty và mật khẩu' trên môi trường staging.
4. Nhập email/mật khẩu đúng của Recruiter, HM, Interviewer
5. nhấn Đăng nhập
6. đối chiếu landing page của từng role.
7. Ghi kết quả thực tế và đối chiếu tiêu chí S1-01-AC01.</x:v>
      </x:c>
      <x:c r="N5" s="20" t="str">
        <x:v>Đăng nhập đúng thì vào được trang chủ tương ứng với vai trò</x:v>
      </x:c>
      <x:c r="O5" s="20" t="str"/>
      <x:c r="P5" s="20" t="str">
        <x:v>Chưa chạy</x:v>
      </x:c>
      <x:c r="Q5" s="20" t="str"/>
      <x:c r="R5" s="20" t="str"/>
      <x:c r="S5" s="26" t="str"/>
      <x:c r="T5" s="20" t="str">
        <x:v>Ưu tiên tự động hóa</x:v>
      </x:c>
      <x:c r="U5" s="20" t="str">
        <x:v>Nguồn: 4. Product Backlog!F7, tiêu chí 1</x:v>
      </x:c>
      <x:c r="V5" s="20" t="str">
        <x:v>S1-01</x:v>
      </x:c>
      <x:c r="W5" s="20" t="str">
        <x:v>Backlog / AC</x:v>
      </x:c>
    </x:row>
    <x:row r="6" ht="92" customHeight="1">
      <x:c r="A6" s="20" t="str">
        <x:v>TC-S1-01-02</x:v>
      </x:c>
      <x:c r="B6" s="20" t="n">
        <x:v>1</x:v>
      </x:c>
      <x:c r="C6" s="20" t="str">
        <x:v>EP-01</x:v>
      </x:c>
      <x:c r="D6" s="20" t="str">
        <x:v>S1-01</x:v>
      </x:c>
      <x:c r="E6" s="20" t="str">
        <x:v>S1-01-AC02</x:v>
      </x:c>
      <x:c r="F6" s="20" t="str">
        <x:v>Tài khoản &amp; Phân quyền</x:v>
      </x:c>
      <x:c r="G6" s="20" t="str">
        <x:v>Sai thông tin hiển thị thông báo chung, không tiết lộ email có tồn tại hay không</x:v>
      </x:c>
      <x:c r="H6" s="20" t="str">
        <x:v>Negative / RBAC</x:v>
      </x:c>
      <x:c r="I6" s="20" t="str">
        <x:v>Critical</x:v>
      </x:c>
      <x:c r="J6" s="20" t="str">
        <x:v>nhân sự nội bộ</x:v>
      </x:c>
      <x:c r="K6" s="20" t="str">
        <x:v>Có staging, 7 tài khoản mẫu theo đúng vai trò; email test nội bộ.</x:v>
      </x:c>
      <x:c r="L6" s="20" t="str">
        <x:v>admin@ats.test; recruiter.a@ats.test; manager.a@ats.test; interviewer.a@ats.test</x:v>
      </x:c>
      <x:c r="M6" s="20" t="str">
        <x:v>1. Chuẩn bị dữ liệu: Có staging, 7 tài khoản mẫu theo đúng vai trò; email test nội bộ.
2. Đăng nhập bằng tài khoản vai trò 'nhân sự nội bộ' được phép thao tác.
3. Mở chức năng 'đăng nhập bằng email công ty và mật khẩu'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6" s="20" t="str">
        <x:v>Sai thông tin hiển thị thông báo chung, không tiết lộ email có tồn tại hay không</x:v>
      </x:c>
      <x:c r="O6" s="20" t="str"/>
      <x:c r="P6" s="20" t="str">
        <x:v>Chưa chạy</x:v>
      </x:c>
      <x:c r="Q6" s="20" t="str"/>
      <x:c r="R6" s="20" t="str"/>
      <x:c r="S6" s="26" t="str"/>
      <x:c r="T6" s="20" t="str">
        <x:v>Ưu tiên tự động hóa</x:v>
      </x:c>
      <x:c r="U6" s="20" t="str">
        <x:v>Nguồn: 4. Product Backlog!F7, tiêu chí 2</x:v>
      </x:c>
      <x:c r="V6" s="20" t="str">
        <x:v>S1-01</x:v>
      </x:c>
      <x:c r="W6" s="20" t="str">
        <x:v>Backlog / AC</x:v>
      </x:c>
    </x:row>
    <x:row r="7" ht="92" customHeight="1">
      <x:c r="A7" s="20" t="str">
        <x:v>TC-S1-01-03</x:v>
      </x:c>
      <x:c r="B7" s="20" t="n">
        <x:v>1</x:v>
      </x:c>
      <x:c r="C7" s="20" t="str">
        <x:v>EP-01</x:v>
      </x:c>
      <x:c r="D7" s="20" t="str">
        <x:v>S1-01</x:v>
      </x:c>
      <x:c r="E7" s="20" t="str">
        <x:v>S1-01-AC03</x:v>
      </x:c>
      <x:c r="F7" s="20" t="str">
        <x:v>Tài khoản &amp; Phân quyền</x:v>
      </x:c>
      <x:c r="G7" s="20" t="str">
        <x:v>Khoá tạm 15 phút sau 5 lần sai liên tiếp</x:v>
      </x:c>
      <x:c r="H7" s="20" t="str">
        <x:v>Boundary</x:v>
      </x:c>
      <x:c r="I7" s="20" t="str">
        <x:v>Critical</x:v>
      </x:c>
      <x:c r="J7" s="20" t="str">
        <x:v>nhân sự nội bộ</x:v>
      </x:c>
      <x:c r="K7" s="20" t="str">
        <x:v>Có staging, 7 tài khoản mẫu theo đúng vai trò; email test nội bộ.</x:v>
      </x:c>
      <x:c r="L7" s="20" t="str">
        <x:v>admin@ats.test; recruiter.a@ats.test; manager.a@ats.test; interviewer.a@ats.test</x:v>
      </x:c>
      <x:c r="M7" s="20" t="str">
        <x:v>1. Chuẩn bị dữ liệu: Có staging, 7 tài khoản mẫu theo đúng vai trò; email test nội bộ.
2. Đăng nhập bằng tài khoản vai trò 'nhân sự nội bộ' được phép thao tác.
3. Mở chức năng 'đăng nhập bằng email công ty và mật khẩu' trên môi trường staging.
4. Gửi 4 lần đăng nhập sai rồi kiểm tra; gửi lần sai thứ 5, thử lại trước và sau mốc 15 phút.
5. Đối chiếu thông báo, mã phản hồi, thời điểm mở khoá.</x:v>
      </x:c>
      <x:c r="N7" s="20" t="str">
        <x:v>Khoá tạm 15 phút sau 5 lần sai liên tiếp</x:v>
      </x:c>
      <x:c r="O7" s="20" t="str"/>
      <x:c r="P7" s="20" t="str">
        <x:v>Chưa chạy</x:v>
      </x:c>
      <x:c r="Q7" s="20" t="str"/>
      <x:c r="R7" s="20" t="str"/>
      <x:c r="S7" s="26" t="str"/>
      <x:c r="T7" s="20" t="str">
        <x:v>Ưu tiên tự động hóa</x:v>
      </x:c>
      <x:c r="U7" s="20" t="str">
        <x:v>Nguồn: 4. Product Backlog!F7, tiêu chí 3</x:v>
      </x:c>
      <x:c r="V7" s="20" t="str">
        <x:v>S1-01</x:v>
      </x:c>
      <x:c r="W7" s="20" t="str">
        <x:v>Backlog / AC</x:v>
      </x:c>
    </x:row>
    <x:row r="8" ht="92" customHeight="1">
      <x:c r="A8" s="20" t="str">
        <x:v>TC-S1-01-X01</x:v>
      </x:c>
      <x:c r="B8" s="20" t="n">
        <x:v>1</x:v>
      </x:c>
      <x:c r="C8" s="20" t="str">
        <x:v>EP-01</x:v>
      </x:c>
      <x:c r="D8" s="20" t="str">
        <x:v>S1-01</x:v>
      </x:c>
      <x:c r="E8" s="20" t="str">
        <x:v>QA-EXTRA</x:v>
      </x:c>
      <x:c r="F8" s="20" t="str">
        <x:v>Tài khoản &amp; Phân quyền</x:v>
      </x:c>
      <x:c r="G8" s="20" t="str">
        <x:v>Ranh giới khóa tài khoản 4/5 lần sai</x:v>
      </x:c>
      <x:c r="H8" s="20" t="str">
        <x:v>Boundary</x:v>
      </x:c>
      <x:c r="I8" s="20" t="str">
        <x:v>Critical</x:v>
      </x:c>
      <x:c r="J8" s="20" t="str">
        <x:v>nhân sự nội bộ</x:v>
      </x:c>
      <x:c r="K8" s="20" t="str">
        <x:v>Có staging, 7 tài khoản mẫu theo đúng vai trò; email test nội bộ.</x:v>
      </x:c>
      <x:c r="L8" s="20" t="str">
        <x:v>Đúng tài khoản, sai mật khẩu 4 lần rồi lần thứ 5</x:v>
      </x:c>
      <x:c r="M8" s="20" t="str">
        <x:v>1. Đăng nhập sai 4 lần
2. Đăng nhập đúng
3. Lặp lại 5 lần sai với tài khoản khác
4. Đăng nhập đúng ngay sau đó</x:v>
      </x:c>
      <x:c r="N8" s="20" t="str">
        <x:v>Sau 4 lần tài khoản vẫn đăng nhập đúng; sau 5 lần bị khóa 15 phút; phản hồi không tiết lộ tồn tại email</x:v>
      </x:c>
      <x:c r="O8" s="20" t="str"/>
      <x:c r="P8" s="20" t="str">
        <x:v>Chưa chạy</x:v>
      </x:c>
      <x:c r="Q8" s="20" t="str"/>
      <x:c r="R8" s="20" t="str"/>
      <x:c r="S8" s="26" t="str"/>
      <x:c r="T8" s="20" t="str">
        <x:v>Ưu tiên tự động hóa</x:v>
      </x:c>
      <x:c r="U8" s="20" t="str">
        <x:v>Kịch bản rủi ro/biên; nếu vượt yêu cầu backlog, xác nhận PO.</x:v>
      </x:c>
      <x:c r="V8" s="20" t="str">
        <x:v>S1-01</x:v>
      </x:c>
      <x:c r="W8" s="20" t="str">
        <x:v>Bổ sung QA</x:v>
      </x:c>
    </x:row>
    <x:row r="9" ht="92" customHeight="1">
      <x:c r="A9" s="20" t="str">
        <x:v>TC-S1-02-01</x:v>
      </x:c>
      <x:c r="B9" s="20" t="n">
        <x:v>1</x:v>
      </x:c>
      <x:c r="C9" s="20" t="str">
        <x:v>EP-01</x:v>
      </x:c>
      <x:c r="D9" s="20" t="str">
        <x:v>S1-02</x:v>
      </x:c>
      <x:c r="E9" s="20" t="str">
        <x:v>S1-02-AC01</x:v>
      </x:c>
      <x:c r="F9" s="20" t="str">
        <x:v>Tài khoản &amp; Phân quyền</x:v>
      </x:c>
      <x:c r="G9" s="20" t="str">
        <x:v>Phiên được gia hạn tự động khi còn hoạt động</x:v>
      </x:c>
      <x:c r="H9" s="20" t="str">
        <x:v>Functional</x:v>
      </x:c>
      <x:c r="I9" s="20" t="str">
        <x:v>Critical</x:v>
      </x:c>
      <x:c r="J9" s="20" t="str">
        <x:v>nhân sự nội bộ</x:v>
      </x:c>
      <x:c r="K9" s="20" t="str">
        <x:v>Có staging, 7 tài khoản mẫu theo đúng vai trò; email test nội bộ.</x:v>
      </x:c>
      <x:c r="L9" s="20" t="str">
        <x:v>admin@ats.test; recruiter.a@ats.test; manager.a@ats.test; interviewer.a@ats.test</x:v>
      </x:c>
      <x:c r="M9" s="20" t="str">
        <x:v>1. Chuẩn bị dữ liệu: Có staging, 7 tài khoản mẫu theo đúng vai trò; email test nội bộ.
2. Đăng nhập bằng tài khoản vai trò 'nhân sự nội bộ' được phép thao tác.
3. Mở chức năng 'duy trì phiên đăng nhập và đăng xuất an toàn' trên môi trường staging.
4. Thiết lập phiên thời hạn ngắn trên staging
5. gần hết hạn tạo thao tác hợp lệ
6. kiểm tra session expiry mới và dữ liệu form chưa lưu.
7. Ghi kết quả thực tế và đối chiếu tiêu chí S1-02-AC01.</x:v>
      </x:c>
      <x:c r="N9" s="20" t="str">
        <x:v>Phiên được gia hạn tự động khi còn hoạt động</x:v>
      </x:c>
      <x:c r="O9" s="20" t="str"/>
      <x:c r="P9" s="20" t="str">
        <x:v>Chưa chạy</x:v>
      </x:c>
      <x:c r="Q9" s="20" t="str"/>
      <x:c r="R9" s="20" t="str"/>
      <x:c r="S9" s="26" t="str"/>
      <x:c r="T9" s="20" t="str">
        <x:v>Ưu tiên tự động hóa</x:v>
      </x:c>
      <x:c r="U9" s="20" t="str">
        <x:v>Nguồn: 4. Product Backlog!F8, tiêu chí 1</x:v>
      </x:c>
      <x:c r="V9" s="20" t="str">
        <x:v>S1-02</x:v>
      </x:c>
      <x:c r="W9" s="20" t="str">
        <x:v>Backlog / AC</x:v>
      </x:c>
    </x:row>
    <x:row r="10" ht="92" customHeight="1">
      <x:c r="A10" s="20" t="str">
        <x:v>TC-S1-02-02</x:v>
      </x:c>
      <x:c r="B10" s="20" t="n">
        <x:v>1</x:v>
      </x:c>
      <x:c r="C10" s="20" t="str">
        <x:v>EP-01</x:v>
      </x:c>
      <x:c r="D10" s="20" t="str">
        <x:v>S1-02</x:v>
      </x:c>
      <x:c r="E10" s="20" t="str">
        <x:v>S1-02-AC02</x:v>
      </x:c>
      <x:c r="F10" s="20" t="str">
        <x:v>Tài khoản &amp; Phân quyền</x:v>
      </x:c>
      <x:c r="G10" s="20" t="str">
        <x:v>Đăng xuất làm mất hiệu lực phiên ngay lập tức phía server</x:v>
      </x:c>
      <x:c r="H10" s="20" t="str">
        <x:v>Integration</x:v>
      </x:c>
      <x:c r="I10" s="20" t="str">
        <x:v>Critical</x:v>
      </x:c>
      <x:c r="J10" s="20" t="str">
        <x:v>nhân sự nội bộ</x:v>
      </x:c>
      <x:c r="K10" s="20" t="str">
        <x:v>Có staging, 7 tài khoản mẫu theo đúng vai trò; email test nội bộ.</x:v>
      </x:c>
      <x:c r="L10" s="20" t="str">
        <x:v>admin@ats.test; recruiter.a@ats.test; manager.a@ats.test; interviewer.a@ats.test</x:v>
      </x:c>
      <x:c r="M10" s="20" t="str">
        <x:v>1. Chuẩn bị dữ liệu: Có staging, 7 tài khoản mẫu theo đúng vai trò; email test nội bộ.
2. Đăng nhập bằng tài khoản vai trò 'nhân sự nội bộ' được phép thao tác.
3. Mở chức năng 'duy trì phiên đăng nhập và đăng xuất an toàn' trên môi trường staging.
4. Đăng nhập, lưu session/access token
5. nhấn Đăng xuất
6. thử gọi API với token cũ và refresh bằng cookie cũ.
7. Ghi kết quả thực tế và đối chiếu tiêu chí S1-02-AC02.</x:v>
      </x:c>
      <x:c r="N10" s="20" t="str">
        <x:v>Đăng xuất làm mất hiệu lực phiên ngay lập tức phía server</x:v>
      </x:c>
      <x:c r="O10" s="20" t="str"/>
      <x:c r="P10" s="20" t="str">
        <x:v>Chưa chạy</x:v>
      </x:c>
      <x:c r="Q10" s="20" t="str"/>
      <x:c r="R10" s="20" t="str"/>
      <x:c r="S10" s="26" t="str"/>
      <x:c r="T10" s="20" t="str">
        <x:v>Ưu tiên tự động hóa</x:v>
      </x:c>
      <x:c r="U10" s="20" t="str">
        <x:v>Nguồn: 4. Product Backlog!F8, tiêu chí 2</x:v>
      </x:c>
      <x:c r="V10" s="20" t="str">
        <x:v>S1-02</x:v>
      </x:c>
      <x:c r="W10" s="20" t="str">
        <x:v>Backlog / AC</x:v>
      </x:c>
    </x:row>
    <x:row r="11" ht="92" customHeight="1">
      <x:c r="A11" s="20" t="str">
        <x:v>TC-S1-02-03</x:v>
      </x:c>
      <x:c r="B11" s="20" t="n">
        <x:v>1</x:v>
      </x:c>
      <x:c r="C11" s="20" t="str">
        <x:v>EP-01</x:v>
      </x:c>
      <x:c r="D11" s="20" t="str">
        <x:v>S1-02</x:v>
      </x:c>
      <x:c r="E11" s="20" t="str">
        <x:v>S1-02-AC03</x:v>
      </x:c>
      <x:c r="F11" s="20" t="str">
        <x:v>Tài khoản &amp; Phân quyền</x:v>
      </x:c>
      <x:c r="G11" s="20" t="str">
        <x:v>Phiên hết hạn đưa về trang đăng nhập kèm thông báo rõ ràng</x:v>
      </x:c>
      <x:c r="H11" s="20" t="str">
        <x:v>Functional</x:v>
      </x:c>
      <x:c r="I11" s="20" t="str">
        <x:v>Critical</x:v>
      </x:c>
      <x:c r="J11" s="20" t="str">
        <x:v>nhân sự nội bộ</x:v>
      </x:c>
      <x:c r="K11" s="20" t="str">
        <x:v>Có staging, 7 tài khoản mẫu theo đúng vai trò; email test nội bộ.</x:v>
      </x:c>
      <x:c r="L11" s="20" t="str">
        <x:v>admin@ats.test; recruiter.a@ats.test; manager.a@ats.test; interviewer.a@ats.test</x:v>
      </x:c>
      <x:c r="M11" s="20" t="str">
        <x:v>1. Chuẩn bị dữ liệu: Có staging, 7 tài khoản mẫu theo đúng vai trò; email test nội bộ.
2. Đăng nhập bằng tài khoản vai trò 'nhân sự nội bộ' được phép thao tác.
3. Mở chức năng 'duy trì phiên đăng nhập và đăng xuất an toàn' trên môi trường staging.
4. Thực hiện thao tác phát sinh email/thông báo; đọc hộp thư sandbox và thông báo trong ứng dụng.
5. Đối chiếu người nhận, nội dung, thời điểm, trạng thái và việc chống gửi trùng.</x:v>
      </x:c>
      <x:c r="N11" s="20" t="str">
        <x:v>Phiên hết hạn đưa về trang đăng nhập kèm thông báo rõ ràng</x:v>
      </x:c>
      <x:c r="O11" s="20" t="str"/>
      <x:c r="P11" s="20" t="str">
        <x:v>Chưa chạy</x:v>
      </x:c>
      <x:c r="Q11" s="20" t="str"/>
      <x:c r="R11" s="20" t="str"/>
      <x:c r="S11" s="26" t="str"/>
      <x:c r="T11" s="20" t="str">
        <x:v>Ưu tiên tự động hóa</x:v>
      </x:c>
      <x:c r="U11" s="20" t="str">
        <x:v>Nguồn: 4. Product Backlog!F8, tiêu chí 3</x:v>
      </x:c>
      <x:c r="V11" s="20" t="str">
        <x:v>S1-02</x:v>
      </x:c>
      <x:c r="W11" s="20" t="str">
        <x:v>Backlog / AC</x:v>
      </x:c>
    </x:row>
    <x:row r="12" ht="92" customHeight="1">
      <x:c r="A12" s="20" t="str">
        <x:v>TC-S1-02-X01</x:v>
      </x:c>
      <x:c r="B12" s="20" t="n">
        <x:v>1</x:v>
      </x:c>
      <x:c r="C12" s="20" t="str">
        <x:v>EP-01</x:v>
      </x:c>
      <x:c r="D12" s="20" t="str">
        <x:v>S1-02</x:v>
      </x:c>
      <x:c r="E12" s="20" t="str">
        <x:v>QA-EXTRA</x:v>
      </x:c>
      <x:c r="F12" s="20" t="str">
        <x:v>Tài khoản &amp; Phân quyền</x:v>
      </x:c>
      <x:c r="G12" s="20" t="str">
        <x:v>Refresh token đã thu hồi không thể tái sử dụng</x:v>
      </x:c>
      <x:c r="H12" s="20" t="str">
        <x:v>Security</x:v>
      </x:c>
      <x:c r="I12" s="20" t="str">
        <x:v>Critical</x:v>
      </x:c>
      <x:c r="J12" s="20" t="str">
        <x:v>nhân sự nội bộ</x:v>
      </x:c>
      <x:c r="K12" s="20" t="str">
        <x:v>Có staging, 7 tài khoản mẫu theo đúng vai trò; email test nội bộ.</x:v>
      </x:c>
      <x:c r="L12" s="20" t="str">
        <x:v>Access/refresh token thu trước khi đăng xuất</x:v>
      </x:c>
      <x:c r="M12" s="20" t="str">
        <x:v>1. Đăng nhập và lưu token
2. Đăng xuất
3. Gọi API làm mới phiên bằng token cũ
4. Gọi API nghiệp vụ</x:v>
      </x:c>
      <x:c r="N12" s="20" t="str">
        <x:v>Cả refresh và access token cũ bị từ chối, không thể phục hồi phiên</x:v>
      </x:c>
      <x:c r="O12" s="20" t="str"/>
      <x:c r="P12" s="20" t="str">
        <x:v>Chưa chạy</x:v>
      </x:c>
      <x:c r="Q12" s="20" t="str"/>
      <x:c r="R12" s="20" t="str"/>
      <x:c r="S12" s="26" t="str"/>
      <x:c r="T12" s="20" t="str">
        <x:v>Ưu tiên tự động hóa</x:v>
      </x:c>
      <x:c r="U12" s="20" t="str">
        <x:v>Kịch bản rủi ro/biên; nếu vượt yêu cầu backlog, xác nhận PO.</x:v>
      </x:c>
      <x:c r="V12" s="20" t="str">
        <x:v>S1-02</x:v>
      </x:c>
      <x:c r="W12" s="20" t="str">
        <x:v>Bổ sung QA</x:v>
      </x:c>
    </x:row>
    <x:row r="13" ht="92" customHeight="1">
      <x:c r="A13" s="20" t="str">
        <x:v>TC-S1-03-01</x:v>
      </x:c>
      <x:c r="B13" s="20" t="n">
        <x:v>1</x:v>
      </x:c>
      <x:c r="C13" s="20" t="str">
        <x:v>EP-01</x:v>
      </x:c>
      <x:c r="D13" s="20" t="str">
        <x:v>S1-03</x:v>
      </x:c>
      <x:c r="E13" s="20" t="str">
        <x:v>S1-03-AC01</x:v>
      </x:c>
      <x:c r="F13" s="20" t="str">
        <x:v>Tài khoản &amp; Phân quyền</x:v>
      </x:c>
      <x:c r="G13" s="20" t="str">
        <x:v>Nhập email nhận được liên kết đặt lại có hiệu lực 30 phút</x:v>
      </x:c>
      <x:c r="H13" s="20" t="str">
        <x:v>Boundary</x:v>
      </x:c>
      <x:c r="I13" s="20" t="str">
        <x:v>Critical</x:v>
      </x:c>
      <x:c r="J13" s="20" t="str">
        <x:v>nhân sự nội bộ</x:v>
      </x:c>
      <x:c r="K13" s="20" t="str">
        <x:v>Có staging, 7 tài khoản mẫu theo đúng vai trò; email test nội bộ.</x:v>
      </x:c>
      <x:c r="L13" s="20" t="str">
        <x:v>admin@ats.test; recruiter.a@ats.test; manager.a@ats.test; interviewer.a@ats.test</x:v>
      </x:c>
      <x:c r="M13" s="20" t="str">
        <x:v>1. Chuẩn bị dữ liệu: Có staging, 7 tài khoản mẫu theo đúng vai trò; email test nội bộ.
2. Đăng nhập bằng tài khoản vai trò 'nhân sự nội bộ' được phép thao tác.
3. Mở chức năng 'đặt lại mật khẩu khi quên thông qua email' trên môi trường staging.
4. Sinh liên kết khôi phục; mở trước hạn, mở lại lần hai và thử sau phút thứ 30.
5. Đối chiếu hiệu lực token và kết quả đổi mật khẩu.</x:v>
      </x:c>
      <x:c r="N13" s="20" t="str">
        <x:v>Nhập email nhận được liên kết đặt lại có hiệu lực 30 phút</x:v>
      </x:c>
      <x:c r="O13" s="20" t="str"/>
      <x:c r="P13" s="20" t="str">
        <x:v>Chưa chạy</x:v>
      </x:c>
      <x:c r="Q13" s="20" t="str"/>
      <x:c r="R13" s="20" t="str"/>
      <x:c r="S13" s="26" t="str"/>
      <x:c r="T13" s="20" t="str">
        <x:v>Ưu tiên tự động hóa</x:v>
      </x:c>
      <x:c r="U13" s="20" t="str">
        <x:v>Nguồn: 4. Product Backlog!F9, tiêu chí 1</x:v>
      </x:c>
      <x:c r="V13" s="20" t="str">
        <x:v>S1-03</x:v>
      </x:c>
      <x:c r="W13" s="20" t="str">
        <x:v>Backlog / AC</x:v>
      </x:c>
    </x:row>
    <x:row r="14" ht="92" customHeight="1">
      <x:c r="A14" s="20" t="str">
        <x:v>TC-S1-03-02</x:v>
      </x:c>
      <x:c r="B14" s="20" t="n">
        <x:v>1</x:v>
      </x:c>
      <x:c r="C14" s="20" t="str">
        <x:v>EP-01</x:v>
      </x:c>
      <x:c r="D14" s="20" t="str">
        <x:v>S1-03</x:v>
      </x:c>
      <x:c r="E14" s="20" t="str">
        <x:v>S1-03-AC02</x:v>
      </x:c>
      <x:c r="F14" s="20" t="str">
        <x:v>Tài khoản &amp; Phân quyền</x:v>
      </x:c>
      <x:c r="G14" s="20" t="str">
        <x:v>Liên kết chỉ dùng được một lần</x:v>
      </x:c>
      <x:c r="H14" s="20" t="str">
        <x:v>Negative / RBAC</x:v>
      </x:c>
      <x:c r="I14" s="20" t="str">
        <x:v>Critical</x:v>
      </x:c>
      <x:c r="J14" s="20" t="str">
        <x:v>nhân sự nội bộ</x:v>
      </x:c>
      <x:c r="K14" s="20" t="str">
        <x:v>Có staging, 7 tài khoản mẫu theo đúng vai trò; email test nội bộ.</x:v>
      </x:c>
      <x:c r="L14" s="20" t="str">
        <x:v>admin@ats.test; recruiter.a@ats.test; manager.a@ats.test; interviewer.a@ats.test</x:v>
      </x:c>
      <x:c r="M14" s="20" t="str">
        <x:v>1. Chuẩn bị dữ liệu: Có staging, 7 tài khoản mẫu theo đúng vai trò; email test nội bộ.
2. Đăng nhập bằng tài khoản vai trò 'nhân sự nội bộ' được phép thao tác.
3. Mở chức năng 'đặt lại mật khẩu khi quên thông qua email'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14" s="20" t="str">
        <x:v>Liên kết chỉ dùng được một lần</x:v>
      </x:c>
      <x:c r="O14" s="20" t="str"/>
      <x:c r="P14" s="20" t="str">
        <x:v>Chưa chạy</x:v>
      </x:c>
      <x:c r="Q14" s="20" t="str"/>
      <x:c r="R14" s="20" t="str"/>
      <x:c r="S14" s="26" t="str"/>
      <x:c r="T14" s="20" t="str">
        <x:v>Ưu tiên tự động hóa</x:v>
      </x:c>
      <x:c r="U14" s="20" t="str">
        <x:v>Nguồn: 4. Product Backlog!F9, tiêu chí 2</x:v>
      </x:c>
      <x:c r="V14" s="20" t="str">
        <x:v>S1-03</x:v>
      </x:c>
      <x:c r="W14" s="20" t="str">
        <x:v>Backlog / AC</x:v>
      </x:c>
    </x:row>
    <x:row r="15" ht="92" customHeight="1">
      <x:c r="A15" s="20" t="str">
        <x:v>TC-S1-03-03</x:v>
      </x:c>
      <x:c r="B15" s="20" t="n">
        <x:v>1</x:v>
      </x:c>
      <x:c r="C15" s="20" t="str">
        <x:v>EP-01</x:v>
      </x:c>
      <x:c r="D15" s="20" t="str">
        <x:v>S1-03</x:v>
      </x:c>
      <x:c r="E15" s="20" t="str">
        <x:v>S1-03-AC03</x:v>
      </x:c>
      <x:c r="F15" s="20" t="str">
        <x:v>Tài khoản &amp; Phân quyền</x:v>
      </x:c>
      <x:c r="G15" s="20" t="str">
        <x:v>Email không tồn tại vẫn hiển thị cùng một thông báo</x:v>
      </x:c>
      <x:c r="H15" s="20" t="str">
        <x:v>Functional</x:v>
      </x:c>
      <x:c r="I15" s="20" t="str">
        <x:v>Critical</x:v>
      </x:c>
      <x:c r="J15" s="20" t="str">
        <x:v>nhân sự nội bộ</x:v>
      </x:c>
      <x:c r="K15" s="20" t="str">
        <x:v>Có staging, 7 tài khoản mẫu theo đúng vai trò; email test nội bộ.</x:v>
      </x:c>
      <x:c r="L15" s="20" t="str">
        <x:v>admin@ats.test; recruiter.a@ats.test; manager.a@ats.test; interviewer.a@ats.test</x:v>
      </x:c>
      <x:c r="M15" s="20" t="str">
        <x:v>1. Chuẩn bị dữ liệu: Có staging, 7 tài khoản mẫu theo đúng vai trò; email test nội bộ.
2. Đăng nhập bằng tài khoản vai trò 'nhân sự nội bộ' được phép thao tác.
3. Mở chức năng 'đặt lại mật khẩu khi quên thông qua email' trên môi trường staging.
4. Thực hiện thao tác phát sinh email/thông báo; đọc hộp thư sandbox và thông báo trong ứng dụng.
5. Đối chiếu người nhận, nội dung, thời điểm, trạng thái và việc chống gửi trùng.</x:v>
      </x:c>
      <x:c r="N15" s="20" t="str">
        <x:v>Email không tồn tại vẫn hiển thị cùng một thông báo</x:v>
      </x:c>
      <x:c r="O15" s="20" t="str"/>
      <x:c r="P15" s="20" t="str">
        <x:v>Chưa chạy</x:v>
      </x:c>
      <x:c r="Q15" s="20" t="str"/>
      <x:c r="R15" s="20" t="str"/>
      <x:c r="S15" s="26" t="str"/>
      <x:c r="T15" s="20" t="str">
        <x:v>Ưu tiên tự động hóa</x:v>
      </x:c>
      <x:c r="U15" s="20" t="str">
        <x:v>Nguồn: 4. Product Backlog!F9, tiêu chí 3</x:v>
      </x:c>
      <x:c r="V15" s="20" t="str">
        <x:v>S1-03</x:v>
      </x:c>
      <x:c r="W15" s="20" t="str">
        <x:v>Backlog / AC</x:v>
      </x:c>
    </x:row>
    <x:row r="16" ht="92" customHeight="1">
      <x:c r="A16" s="20" t="str">
        <x:v>TC-S1-03-X01</x:v>
      </x:c>
      <x:c r="B16" s="20" t="n">
        <x:v>1</x:v>
      </x:c>
      <x:c r="C16" s="20" t="str">
        <x:v>EP-01</x:v>
      </x:c>
      <x:c r="D16" s="20" t="str">
        <x:v>S1-03</x:v>
      </x:c>
      <x:c r="E16" s="20" t="str">
        <x:v>QA-EXTRA</x:v>
      </x:c>
      <x:c r="F16" s="20" t="str">
        <x:v>Tài khoản &amp; Phân quyền</x:v>
      </x:c>
      <x:c r="G16" s="20" t="str">
        <x:v>Token khôi phục sử dụng lại hoặc hết hạn</x:v>
      </x:c>
      <x:c r="H16" s="20" t="str">
        <x:v>Security</x:v>
      </x:c>
      <x:c r="I16" s="20" t="str">
        <x:v>Critical</x:v>
      </x:c>
      <x:c r="J16" s="20" t="str">
        <x:v>nhân sự nội bộ</x:v>
      </x:c>
      <x:c r="K16" s="20" t="str">
        <x:v>Có staging, 7 tài khoản mẫu theo đúng vai trò; email test nội bộ.</x:v>
      </x:c>
      <x:c r="L16" s="20" t="str">
        <x:v>Email test; token trước/sau mốc 30 phút</x:v>
      </x:c>
      <x:c r="M16" s="20" t="str">
        <x:v>1. Yêu cầu đặt lại mật khẩu
2. Dùng liên kết thành công
3. Gửi lại cùng liên kết
4. Dùng liên kết đã quá 30 phút</x:v>
      </x:c>
      <x:c r="N16" s="20" t="str">
        <x:v>Token dùng một lần; token hết hạn bị từ chối và mật khẩu không đổi</x:v>
      </x:c>
      <x:c r="O16" s="20" t="str"/>
      <x:c r="P16" s="20" t="str">
        <x:v>Chưa chạy</x:v>
      </x:c>
      <x:c r="Q16" s="20" t="str"/>
      <x:c r="R16" s="20" t="str"/>
      <x:c r="S16" s="26" t="str"/>
      <x:c r="T16" s="20" t="str">
        <x:v>Ưu tiên tự động hóa</x:v>
      </x:c>
      <x:c r="U16" s="20" t="str">
        <x:v>Kịch bản rủi ro/biên; nếu vượt yêu cầu backlog, xác nhận PO.</x:v>
      </x:c>
      <x:c r="V16" s="20" t="str">
        <x:v>S1-03</x:v>
      </x:c>
      <x:c r="W16" s="20" t="str">
        <x:v>Bổ sung QA</x:v>
      </x:c>
    </x:row>
    <x:row r="17" ht="92" customHeight="1">
      <x:c r="A17" s="20" t="str">
        <x:v>TC-S1-04-01</x:v>
      </x:c>
      <x:c r="B17" s="20" t="n">
        <x:v>1</x:v>
      </x:c>
      <x:c r="C17" s="20" t="str">
        <x:v>EP-01</x:v>
      </x:c>
      <x:c r="D17" s="20" t="str">
        <x:v>S1-04</x:v>
      </x:c>
      <x:c r="E17" s="20" t="str">
        <x:v>S1-04-AC01</x:v>
      </x:c>
      <x:c r="F17" s="20" t="str">
        <x:v>Tài khoản &amp; Phân quyền</x:v>
      </x:c>
      <x:c r="G17" s="20" t="str">
        <x:v>Bắt buộc nhập mật khẩu hiện tại</x:v>
      </x:c>
      <x:c r="H17" s="20" t="str">
        <x:v>Functional</x:v>
      </x:c>
      <x:c r="I17" s="20" t="str">
        <x:v>High</x:v>
      </x:c>
      <x:c r="J17" s="20" t="str">
        <x:v>nhân sự nội bộ</x:v>
      </x:c>
      <x:c r="K17" s="20" t="str">
        <x:v>Có staging, 7 tài khoản mẫu theo đúng vai trò; email test nội bộ.</x:v>
      </x:c>
      <x:c r="L17" s="20" t="str">
        <x:v>admin@ats.test; recruiter.a@ats.test; manager.a@ats.test; interviewer.a@ats.test</x:v>
      </x:c>
      <x:c r="M17" s="20" t="str">
        <x:v>1. Chuẩn bị dữ liệu: Có staging, 7 tài khoản mẫu theo đúng vai trò; email test nội bộ.
2. Đăng nhập bằng tài khoản vai trò 'nhân sự nội bộ' được phép thao tác.
3. Mở chức năng 'đổi mật khẩu khi đang đăng nhập' trên môi trường staging.
4. Thử một bộ dữ liệu hợp lệ và một bộ thiếu/sai điều kiện bắt buộc; thực hiện Lưu/Gửi duyệt.
5. So sánh xác thực UI/API và dữ liệu được ghi.</x:v>
      </x:c>
      <x:c r="N17" s="20" t="str">
        <x:v>Bắt buộc nhập mật khẩu hiện tại</x:v>
      </x:c>
      <x:c r="O17" s="20" t="str"/>
      <x:c r="P17" s="20" t="str">
        <x:v>Chưa chạy</x:v>
      </x:c>
      <x:c r="Q17" s="20" t="str"/>
      <x:c r="R17" s="20" t="str"/>
      <x:c r="S17" s="26" t="str"/>
      <x:c r="T17" s="20" t="str">
        <x:v>Ưu tiên tự động hóa</x:v>
      </x:c>
      <x:c r="U17" s="20" t="str">
        <x:v>Nguồn: 4. Product Backlog!F10, tiêu chí 1</x:v>
      </x:c>
      <x:c r="V17" s="20" t="str">
        <x:v>S1-04</x:v>
      </x:c>
      <x:c r="W17" s="20" t="str">
        <x:v>Backlog / AC</x:v>
      </x:c>
    </x:row>
    <x:row r="18" ht="92" customHeight="1">
      <x:c r="A18" s="20" t="str">
        <x:v>TC-S1-04-02</x:v>
      </x:c>
      <x:c r="B18" s="20" t="n">
        <x:v>1</x:v>
      </x:c>
      <x:c r="C18" s="20" t="str">
        <x:v>EP-01</x:v>
      </x:c>
      <x:c r="D18" s="20" t="str">
        <x:v>S1-04</x:v>
      </x:c>
      <x:c r="E18" s="20" t="str">
        <x:v>S1-04-AC02</x:v>
      </x:c>
      <x:c r="F18" s="20" t="str">
        <x:v>Tài khoản &amp; Phân quyền</x:v>
      </x:c>
      <x:c r="G18" s="20" t="str">
        <x:v>Mật khẩu mới tối thiểu 8 ký tự, có chữ và số</x:v>
      </x:c>
      <x:c r="H18" s="20" t="str">
        <x:v>Boundary</x:v>
      </x:c>
      <x:c r="I18" s="20" t="str">
        <x:v>High</x:v>
      </x:c>
      <x:c r="J18" s="20" t="str">
        <x:v>nhân sự nội bộ</x:v>
      </x:c>
      <x:c r="K18" s="20" t="str">
        <x:v>Có staging, 7 tài khoản mẫu theo đúng vai trò; email test nội bộ.</x:v>
      </x:c>
      <x:c r="L18" s="20" t="str">
        <x:v>admin@ats.test; recruiter.a@ats.test; manager.a@ats.test; interviewer.a@ats.test</x:v>
      </x:c>
      <x:c r="M18" s="20" t="str">
        <x:v>1. Chuẩn bị dữ liệu: Có staging, 7 tài khoản mẫu theo đúng vai trò; email test nội bộ.
2. Đăng nhập bằng tài khoản vai trò 'nhân sự nội bộ' được phép thao tác.
3. Mở chức năng 'đổi mật khẩu khi đang đăng nhập' trên môi trường staging.
4. Thử một bộ dữ liệu hợp lệ và một bộ thiếu/sai điều kiện bắt buộc; thực hiện Lưu/Gửi duyệt.
5. So sánh xác thực UI/API và dữ liệu được ghi.</x:v>
      </x:c>
      <x:c r="N18" s="20" t="str">
        <x:v>Mật khẩu mới tối thiểu 8 ký tự, có chữ và số</x:v>
      </x:c>
      <x:c r="O18" s="20" t="str"/>
      <x:c r="P18" s="20" t="str">
        <x:v>Chưa chạy</x:v>
      </x:c>
      <x:c r="Q18" s="20" t="str"/>
      <x:c r="R18" s="20" t="str"/>
      <x:c r="S18" s="26" t="str"/>
      <x:c r="T18" s="20" t="str">
        <x:v>Ưu tiên tự động hóa</x:v>
      </x:c>
      <x:c r="U18" s="20" t="str">
        <x:v>Nguồn: 4. Product Backlog!F10, tiêu chí 2</x:v>
      </x:c>
      <x:c r="V18" s="20" t="str">
        <x:v>S1-04</x:v>
      </x:c>
      <x:c r="W18" s="20" t="str">
        <x:v>Backlog / AC</x:v>
      </x:c>
    </x:row>
    <x:row r="19" ht="92" customHeight="1">
      <x:c r="A19" s="20" t="str">
        <x:v>TC-S1-04-03</x:v>
      </x:c>
      <x:c r="B19" s="20" t="n">
        <x:v>1</x:v>
      </x:c>
      <x:c r="C19" s="20" t="str">
        <x:v>EP-01</x:v>
      </x:c>
      <x:c r="D19" s="20" t="str">
        <x:v>S1-04</x:v>
      </x:c>
      <x:c r="E19" s="20" t="str">
        <x:v>S1-04-AC03</x:v>
      </x:c>
      <x:c r="F19" s="20" t="str">
        <x:v>Tài khoản &amp; Phân quyền</x:v>
      </x:c>
      <x:c r="G19" s="20" t="str">
        <x:v>Đổi xong thu hồi các phiên đăng nhập khác</x:v>
      </x:c>
      <x:c r="H19" s="20" t="str">
        <x:v>Functional</x:v>
      </x:c>
      <x:c r="I19" s="20" t="str">
        <x:v>High</x:v>
      </x:c>
      <x:c r="J19" s="20" t="str">
        <x:v>nhân sự nội bộ</x:v>
      </x:c>
      <x:c r="K19" s="20" t="str">
        <x:v>Có staging, 7 tài khoản mẫu theo đúng vai trò; email test nội bộ.</x:v>
      </x:c>
      <x:c r="L19" s="20" t="str">
        <x:v>admin@ats.test; recruiter.a@ats.test; manager.a@ats.test; interviewer.a@ats.test</x:v>
      </x:c>
      <x:c r="M19" s="20" t="str">
        <x:v>1. Chuẩn bị dữ liệu: Có staging, 7 tài khoản mẫu theo đúng vai trò; email test nội bộ.
2. Đăng nhập bằng tài khoản vai trò 'nhân sự nội bộ' được phép thao tác.
3. Mở chức năng 'đổi mật khẩu khi đang đăng nhập' trên môi trường staging.
4. Đăng nhập đồng thời trên trình duyệt A/B
5. đổi mật khẩu ở A
6. trên B thử thao tác API bằng phiên cũ.
7. Ghi kết quả thực tế và đối chiếu tiêu chí S1-04-AC03.</x:v>
      </x:c>
      <x:c r="N19" s="20" t="str">
        <x:v>Đổi xong thu hồi các phiên đăng nhập khác</x:v>
      </x:c>
      <x:c r="O19" s="20" t="str"/>
      <x:c r="P19" s="20" t="str">
        <x:v>Chưa chạy</x:v>
      </x:c>
      <x:c r="Q19" s="20" t="str"/>
      <x:c r="R19" s="20" t="str"/>
      <x:c r="S19" s="26" t="str"/>
      <x:c r="T19" s="20" t="str">
        <x:v>Ưu tiên tự động hóa</x:v>
      </x:c>
      <x:c r="U19" s="20" t="str">
        <x:v>Nguồn: 4. Product Backlog!F10, tiêu chí 3</x:v>
      </x:c>
      <x:c r="V19" s="20" t="str">
        <x:v>S1-04</x:v>
      </x:c>
      <x:c r="W19" s="20" t="str">
        <x:v>Backlog / AC</x:v>
      </x:c>
    </x:row>
    <x:row r="20" ht="92" customHeight="1">
      <x:c r="A20" s="20" t="str">
        <x:v>TC-S1-04-X01</x:v>
      </x:c>
      <x:c r="B20" s="20" t="n">
        <x:v>1</x:v>
      </x:c>
      <x:c r="C20" s="20" t="str">
        <x:v>EP-01</x:v>
      </x:c>
      <x:c r="D20" s="20" t="str">
        <x:v>S1-04</x:v>
      </x:c>
      <x:c r="E20" s="20" t="str">
        <x:v>QA-EXTRA</x:v>
      </x:c>
      <x:c r="F20" s="20" t="str">
        <x:v>Tài khoản &amp; Phân quyền</x:v>
      </x:c>
      <x:c r="G20" s="20" t="str">
        <x:v>Từ chối đổi mật khẩu bằng mật khẩu hiện tại sai</x:v>
      </x:c>
      <x:c r="H20" s="20" t="str">
        <x:v>Negative</x:v>
      </x:c>
      <x:c r="I20" s="20" t="str">
        <x:v>High</x:v>
      </x:c>
      <x:c r="J20" s="20" t="str">
        <x:v>nhân sự nội bộ</x:v>
      </x:c>
      <x:c r="K20" s="20" t="str">
        <x:v>Có staging, 7 tài khoản mẫu theo đúng vai trò; email test nội bộ.</x:v>
      </x:c>
      <x:c r="L20" s="20" t="str">
        <x:v>Mật khẩu hiện tại sai; mật khẩu mới hợp lệ</x:v>
      </x:c>
      <x:c r="M20" s="20" t="str">
        <x:v>1. Mở Đổi mật khẩu
2. Nhập sai mật khẩu hiện tại
3. Lưu
4. Đăng nhập bằng mật khẩu cũ và mới</x:v>
      </x:c>
      <x:c r="N20" s="20" t="str">
        <x:v>Không thay đổi mật khẩu; chỉ mật khẩu cũ hợp lệ</x:v>
      </x:c>
      <x:c r="O20" s="20" t="str"/>
      <x:c r="P20" s="20" t="str">
        <x:v>Chưa chạy</x:v>
      </x:c>
      <x:c r="Q20" s="20" t="str"/>
      <x:c r="R20" s="20" t="str"/>
      <x:c r="S20" s="26" t="str"/>
      <x:c r="T20" s="20" t="str">
        <x:v>Ưu tiên tự động hóa</x:v>
      </x:c>
      <x:c r="U20" s="20" t="str">
        <x:v>Kịch bản rủi ro/biên; nếu vượt yêu cầu backlog, xác nhận PO.</x:v>
      </x:c>
      <x:c r="V20" s="20" t="str">
        <x:v>S1-04</x:v>
      </x:c>
      <x:c r="W20" s="20" t="str">
        <x:v>Bổ sung QA</x:v>
      </x:c>
    </x:row>
    <x:row r="21" ht="92" customHeight="1">
      <x:c r="A21" s="20" t="str">
        <x:v>TC-S1-05-01</x:v>
      </x:c>
      <x:c r="B21" s="20" t="n">
        <x:v>1</x:v>
      </x:c>
      <x:c r="C21" s="20" t="str">
        <x:v>EP-01</x:v>
      </x:c>
      <x:c r="D21" s="20" t="str">
        <x:v>S1-05</x:v>
      </x:c>
      <x:c r="E21" s="20" t="str">
        <x:v>S1-05-AC01</x:v>
      </x:c>
      <x:c r="F21" s="20" t="str">
        <x:v>Tài khoản &amp; Phân quyền</x:v>
      </x:c>
      <x:c r="G21" s="20" t="str">
        <x:v>Khai báo được quyền cho từng vai trò trong bảy vai trò nghiệp vụ</x:v>
      </x:c>
      <x:c r="H21" s="20" t="str">
        <x:v>Functional</x:v>
      </x:c>
      <x:c r="I21" s="20" t="str">
        <x:v>Critical</x:v>
      </x:c>
      <x:c r="J21" s="20" t="str">
        <x:v>Quản trị hệ thống</x:v>
      </x:c>
      <x:c r="K21" s="20" t="str">
        <x:v>Có staging, 7 tài khoản mẫu theo đúng vai trò; email test nội bộ.</x:v>
      </x:c>
      <x:c r="L21" s="20" t="str">
        <x:v>admin@ats.test; recruiter.a@ats.test; manager.a@ats.test; interviewer.a@ats.test</x:v>
      </x:c>
      <x:c r="M21" s="20" t="str">
        <x:v>1. Chuẩn bị dữ liệu: Có staging, 7 tài khoản mẫu theo đúng vai trò; email test nội bộ.
2. Đăng nhập bằng tài khoản vai trò 'Quản trị hệ thống' được phép thao tác.
3. Mở chức năng 'phân quyền theo vai trò cho toàn hệ thống' trên môi trường staging.
4. Admin cấu hình ma trận quyền cho 7 role
5. lần lượt đăng nhập từng role
6. đối chiếu menu và API theo quyền.
7. Ghi kết quả thực tế và đối chiếu tiêu chí S1-05-AC01.</x:v>
      </x:c>
      <x:c r="N21" s="20" t="str">
        <x:v>Khai báo được quyền cho từng vai trò trong bảy vai trò nghiệp vụ</x:v>
      </x:c>
      <x:c r="O21" s="20" t="str"/>
      <x:c r="P21" s="20" t="str">
        <x:v>Chưa chạy</x:v>
      </x:c>
      <x:c r="Q21" s="20" t="str"/>
      <x:c r="R21" s="20" t="str"/>
      <x:c r="S21" s="26" t="str"/>
      <x:c r="T21" s="20" t="str">
        <x:v>Ưu tiên tự động hóa</x:v>
      </x:c>
      <x:c r="U21" s="20" t="str">
        <x:v>Nguồn: 4. Product Backlog!F11, tiêu chí 1</x:v>
      </x:c>
      <x:c r="V21" s="20" t="str">
        <x:v>S1-05</x:v>
      </x:c>
      <x:c r="W21" s="20" t="str">
        <x:v>Backlog / AC</x:v>
      </x:c>
    </x:row>
    <x:row r="22" ht="92" customHeight="1">
      <x:c r="A22" s="20" t="str">
        <x:v>TC-S1-05-02</x:v>
      </x:c>
      <x:c r="B22" s="20" t="n">
        <x:v>1</x:v>
      </x:c>
      <x:c r="C22" s="20" t="str">
        <x:v>EP-01</x:v>
      </x:c>
      <x:c r="D22" s="20" t="str">
        <x:v>S1-05</x:v>
      </x:c>
      <x:c r="E22" s="20" t="str">
        <x:v>S1-05-AC02</x:v>
      </x:c>
      <x:c r="F22" s="20" t="str">
        <x:v>Tài khoản &amp; Phân quyền</x:v>
      </x:c>
      <x:c r="G22" s="20" t="str">
        <x:v>Mọi chức năng đều kiểm quyền ở tầng server, mặc định là từ chối</x:v>
      </x:c>
      <x:c r="H22" s="20" t="str">
        <x:v>Negative / RBAC</x:v>
      </x:c>
      <x:c r="I22" s="20" t="str">
        <x:v>Critical</x:v>
      </x:c>
      <x:c r="J22" s="20" t="str">
        <x:v>Quản trị hệ thống</x:v>
      </x:c>
      <x:c r="K22" s="20" t="str">
        <x:v>Có staging, 7 tài khoản mẫu theo đúng vai trò; email test nội bộ.</x:v>
      </x:c>
      <x:c r="L22" s="20" t="str">
        <x:v>admin@ats.test; recruiter.a@ats.test; manager.a@ats.test; interviewer.a@ats.test</x:v>
      </x:c>
      <x:c r="M22" s="20" t="str">
        <x:v>1. Chuẩn bị dữ liệu: Có staging, 7 tài khoản mẫu theo đúng vai trò; email test nội bộ.
2. Đăng nhập bằng tài khoản vai trò 'Quản trị hệ thống' được phép thao tác.
3. Mở chức năng 'phân quyền theo vai trò cho toàn hệ thống' trên môi trường staging.
4. Gọi từng endpoint nhạy cảm khi không có token và sai role
5. đối chiếu HTTP status, body và DB audit.
6. Ghi kết quả thực tế và đối chiếu tiêu chí S1-05-AC02.</x:v>
      </x:c>
      <x:c r="N22" s="20" t="str">
        <x:v>Mọi chức năng đều kiểm quyền ở tầng server, mặc định là từ chối</x:v>
      </x:c>
      <x:c r="O22" s="20" t="str"/>
      <x:c r="P22" s="20" t="str">
        <x:v>Chưa chạy</x:v>
      </x:c>
      <x:c r="Q22" s="20" t="str"/>
      <x:c r="R22" s="20" t="str"/>
      <x:c r="S22" s="26" t="str"/>
      <x:c r="T22" s="20" t="str">
        <x:v>Ưu tiên tự động hóa</x:v>
      </x:c>
      <x:c r="U22" s="20" t="str">
        <x:v>Nguồn: 4. Product Backlog!F11, tiêu chí 2</x:v>
      </x:c>
      <x:c r="V22" s="20" t="str">
        <x:v>S1-05</x:v>
      </x:c>
      <x:c r="W22" s="20" t="str">
        <x:v>Backlog / AC</x:v>
      </x:c>
    </x:row>
    <x:row r="23" ht="92" customHeight="1">
      <x:c r="A23" s="20" t="str">
        <x:v>TC-S1-05-03</x:v>
      </x:c>
      <x:c r="B23" s="20" t="n">
        <x:v>1</x:v>
      </x:c>
      <x:c r="C23" s="20" t="str">
        <x:v>EP-01</x:v>
      </x:c>
      <x:c r="D23" s="20" t="str">
        <x:v>S1-05</x:v>
      </x:c>
      <x:c r="E23" s="20" t="str">
        <x:v>S1-05-AC03</x:v>
      </x:c>
      <x:c r="F23" s="20" t="str">
        <x:v>Tài khoản &amp; Phân quyền</x:v>
      </x:c>
      <x:c r="G23" s="20" t="str">
        <x:v>Truy cập thiếu quyền hiển thị thông báo tiếng Việt rõ ràng</x:v>
      </x:c>
      <x:c r="H23" s="20" t="str">
        <x:v>Functional</x:v>
      </x:c>
      <x:c r="I23" s="20" t="str">
        <x:v>Critical</x:v>
      </x:c>
      <x:c r="J23" s="20" t="str">
        <x:v>Quản trị hệ thống</x:v>
      </x:c>
      <x:c r="K23" s="20" t="str">
        <x:v>Có staging, 7 tài khoản mẫu theo đúng vai trò; email test nội bộ.</x:v>
      </x:c>
      <x:c r="L23" s="20" t="str">
        <x:v>admin@ats.test; recruiter.a@ats.test; manager.a@ats.test; interviewer.a@ats.test</x:v>
      </x:c>
      <x:c r="M23" s="20" t="str">
        <x:v>1. Chuẩn bị dữ liệu: Có staging, 7 tài khoản mẫu theo đúng vai trò; email test nội bộ.
2. Đăng nhập bằng tài khoản vai trò 'Quản trị hệ thống' được phép thao tác.
3. Mở chức năng 'phân quyền theo vai trò cho toàn hệ thống' trên môi trường staging.
4. Thực hiện thao tác phát sinh email/thông báo; đọc hộp thư sandbox và thông báo trong ứng dụng.
5. Đối chiếu người nhận, nội dung, thời điểm, trạng thái và việc chống gửi trùng.</x:v>
      </x:c>
      <x:c r="N23" s="20" t="str">
        <x:v>Truy cập thiếu quyền hiển thị thông báo tiếng Việt rõ ràng</x:v>
      </x:c>
      <x:c r="O23" s="20" t="str"/>
      <x:c r="P23" s="20" t="str">
        <x:v>Chưa chạy</x:v>
      </x:c>
      <x:c r="Q23" s="20" t="str"/>
      <x:c r="R23" s="20" t="str"/>
      <x:c r="S23" s="26" t="str"/>
      <x:c r="T23" s="20" t="str">
        <x:v>Ưu tiên tự động hóa</x:v>
      </x:c>
      <x:c r="U23" s="20" t="str">
        <x:v>Nguồn: 4. Product Backlog!F11, tiêu chí 3</x:v>
      </x:c>
      <x:c r="V23" s="20" t="str">
        <x:v>S1-05</x:v>
      </x:c>
      <x:c r="W23" s="20" t="str">
        <x:v>Backlog / AC</x:v>
      </x:c>
    </x:row>
    <x:row r="24" ht="92" customHeight="1">
      <x:c r="A24" s="20" t="str">
        <x:v>TC-S1-05-04</x:v>
      </x:c>
      <x:c r="B24" s="20" t="n">
        <x:v>1</x:v>
      </x:c>
      <x:c r="C24" s="20" t="str">
        <x:v>EP-01</x:v>
      </x:c>
      <x:c r="D24" s="20" t="str">
        <x:v>S1-05</x:v>
      </x:c>
      <x:c r="E24" s="20" t="str">
        <x:v>S1-05-AC04</x:v>
      </x:c>
      <x:c r="F24" s="20" t="str">
        <x:v>Tài khoản &amp; Phân quyền</x:v>
      </x:c>
      <x:c r="G24" s="20" t="str">
        <x:v>Có kiểm thử tự động cho ít nhất ba vai trò</x:v>
      </x:c>
      <x:c r="H24" s="20" t="str">
        <x:v>Functional</x:v>
      </x:c>
      <x:c r="I24" s="20" t="str">
        <x:v>Critical</x:v>
      </x:c>
      <x:c r="J24" s="20" t="str">
        <x:v>Quản trị hệ thống</x:v>
      </x:c>
      <x:c r="K24" s="20" t="str">
        <x:v>Có staging, 7 tài khoản mẫu theo đúng vai trò; email test nội bộ.</x:v>
      </x:c>
      <x:c r="L24" s="20" t="str">
        <x:v>admin@ats.test; recruiter.a@ats.test; manager.a@ats.test; interviewer.a@ats.test</x:v>
      </x:c>
      <x:c r="M24" s="20" t="str">
        <x:v>1. Chuẩn bị dữ liệu: Có staging, 7 tài khoản mẫu theo đúng vai trò; email test nội bộ.
2. Đăng nhập bằng tài khoản vai trò 'Quản trị hệ thống' được phép thao tác.
3. Mở chức năng 'phân quyền theo vai trò cho toàn hệ thống' trên môi trường staging.
4. Chạy test API tự động với Recruiter, Interviewer và Hiring Manager trên tài nguyên cùng/ch khác owner.
5. Ghi kết quả thực tế và đối chiếu tiêu chí S1-05-AC04.</x:v>
      </x:c>
      <x:c r="N24" s="20" t="str">
        <x:v>Có kiểm thử tự động cho ít nhất ba vai trò</x:v>
      </x:c>
      <x:c r="O24" s="20" t="str"/>
      <x:c r="P24" s="20" t="str">
        <x:v>Chưa chạy</x:v>
      </x:c>
      <x:c r="Q24" s="20" t="str"/>
      <x:c r="R24" s="20" t="str"/>
      <x:c r="S24" s="26" t="str"/>
      <x:c r="T24" s="20" t="str">
        <x:v>Ưu tiên tự động hóa</x:v>
      </x:c>
      <x:c r="U24" s="20" t="str">
        <x:v>Nguồn: 4. Product Backlog!F11, tiêu chí 4</x:v>
      </x:c>
      <x:c r="V24" s="20" t="str">
        <x:v>S1-05</x:v>
      </x:c>
      <x:c r="W24" s="20" t="str">
        <x:v>Backlog / AC</x:v>
      </x:c>
    </x:row>
    <x:row r="25" ht="92" customHeight="1">
      <x:c r="A25" s="20" t="str">
        <x:v>TC-S1-05-X01</x:v>
      </x:c>
      <x:c r="B25" s="20" t="n">
        <x:v>1</x:v>
      </x:c>
      <x:c r="C25" s="20" t="str">
        <x:v>EP-01</x:v>
      </x:c>
      <x:c r="D25" s="20" t="str">
        <x:v>S1-05</x:v>
      </x:c>
      <x:c r="E25" s="20" t="str">
        <x:v>QA-EXTRA</x:v>
      </x:c>
      <x:c r="F25" s="20" t="str">
        <x:v>Tài khoản &amp; Phân quyền</x:v>
      </x:c>
      <x:c r="G25" s="20" t="str">
        <x:v>IDOR: recruiter không được đọc hồ sơ vị trí khác</x:v>
      </x:c>
      <x:c r="H25" s="20" t="str">
        <x:v>Security / RBAC</x:v>
      </x:c>
      <x:c r="I25" s="20" t="str">
        <x:v>Critical</x:v>
      </x:c>
      <x:c r="J25" s="20" t="str">
        <x:v>Quản trị hệ thống</x:v>
      </x:c>
      <x:c r="K25" s="20" t="str">
        <x:v>Có staging, 7 tài khoản mẫu theo đúng vai trò; email test nội bộ.</x:v>
      </x:c>
      <x:c r="L25" s="20" t="str">
        <x:v>Recruiter A quản lý vị trí A; hồ sơ vị trí B</x:v>
      </x:c>
      <x:c r="M25" s="20" t="str">
        <x:v>1. Đăng nhập Recruiter A
2. Gọi API trực tiếp với candidate_id của vị trí B
3. Thử sửa/đọc CV B</x:v>
      </x:c>
      <x:c r="N25" s="20" t="str">
        <x:v>HTTP 403/404 theo thiết kế; không lộ PII hay nội dung CV; không thay đổi dữ liệu</x:v>
      </x:c>
      <x:c r="O25" s="20" t="str"/>
      <x:c r="P25" s="20" t="str">
        <x:v>Chưa chạy</x:v>
      </x:c>
      <x:c r="Q25" s="20" t="str"/>
      <x:c r="R25" s="20" t="str"/>
      <x:c r="S25" s="26" t="str"/>
      <x:c r="T25" s="20" t="str">
        <x:v>Ưu tiên tự động hóa</x:v>
      </x:c>
      <x:c r="U25" s="20" t="str">
        <x:v>Kịch bản rủi ro/biên; nếu vượt yêu cầu backlog, xác nhận PO.</x:v>
      </x:c>
      <x:c r="V25" s="20" t="str">
        <x:v>S1-05</x:v>
      </x:c>
      <x:c r="W25" s="20" t="str">
        <x:v>Bổ sung QA</x:v>
      </x:c>
    </x:row>
    <x:row r="26" ht="92" customHeight="1">
      <x:c r="A26" s="20" t="str">
        <x:v>TC-S1-06-01</x:v>
      </x:c>
      <x:c r="B26" s="20" t="n">
        <x:v>1</x:v>
      </x:c>
      <x:c r="C26" s="20" t="str">
        <x:v>EP-01</x:v>
      </x:c>
      <x:c r="D26" s="20" t="str">
        <x:v>S1-06</x:v>
      </x:c>
      <x:c r="E26" s="20" t="str">
        <x:v>S1-06-AC01</x:v>
      </x:c>
      <x:c r="F26" s="20" t="str">
        <x:v>Tài khoản &amp; Phân quyền</x:v>
      </x:c>
      <x:c r="G26" s="20" t="str">
        <x:v>Mục menu không thuộc quyền thì không hiển thị</x:v>
      </x:c>
      <x:c r="H26" s="20" t="str">
        <x:v>Functional</x:v>
      </x:c>
      <x:c r="I26" s="20" t="str">
        <x:v>High</x:v>
      </x:c>
      <x:c r="J26" s="20" t="str">
        <x:v>nhân sự nội bộ</x:v>
      </x:c>
      <x:c r="K26" s="20" t="str">
        <x:v>Có staging, 7 tài khoản mẫu theo đúng vai trò; email test nội bộ.</x:v>
      </x:c>
      <x:c r="L26" s="20" t="str">
        <x:v>admin@ats.test; recruiter.a@ats.test; manager.a@ats.test; interviewer.a@ats.test</x:v>
      </x:c>
      <x:c r="M26" s="20" t="str">
        <x:v>1. Chuẩn bị dữ liệu: Có staging, 7 tài khoản mẫu theo đúng vai trò; email test nội bộ.
2. Đăng nhập bằng tài khoản vai trò 'nhân sự nội bộ' được phép thao tác.
3. Mở chức năng 'thấy menu điều hướng đúng theo quyền của mình' trên môi trường staging.
4. Đăng nhập lần lượt 7 role
5. ghi nhận các menu hiển thị
6. so sánh với ma trận phân quyền.
7. Ghi kết quả thực tế và đối chiếu tiêu chí S1-06-AC01.</x:v>
      </x:c>
      <x:c r="N26" s="20" t="str">
        <x:v>Mục menu không thuộc quyền thì không hiển thị</x:v>
      </x:c>
      <x:c r="O26" s="20" t="str"/>
      <x:c r="P26" s="20" t="str">
        <x:v>Chưa chạy</x:v>
      </x:c>
      <x:c r="Q26" s="20" t="str"/>
      <x:c r="R26" s="20" t="str"/>
      <x:c r="S26" s="26" t="str"/>
      <x:c r="T26" s="20" t="str">
        <x:v>Ưu tiên tự động hóa</x:v>
      </x:c>
      <x:c r="U26" s="20" t="str">
        <x:v>Nguồn: 4. Product Backlog!F12, tiêu chí 1</x:v>
      </x:c>
      <x:c r="V26" s="20" t="str">
        <x:v>S1-06</x:v>
      </x:c>
      <x:c r="W26" s="20" t="str">
        <x:v>Backlog / AC</x:v>
      </x:c>
    </x:row>
    <x:row r="27" ht="92" customHeight="1">
      <x:c r="A27" s="20" t="str">
        <x:v>TC-S1-06-02</x:v>
      </x:c>
      <x:c r="B27" s="20" t="n">
        <x:v>1</x:v>
      </x:c>
      <x:c r="C27" s="20" t="str">
        <x:v>EP-01</x:v>
      </x:c>
      <x:c r="D27" s="20" t="str">
        <x:v>S1-06</x:v>
      </x:c>
      <x:c r="E27" s="20" t="str">
        <x:v>S1-06-AC02</x:v>
      </x:c>
      <x:c r="F27" s="20" t="str">
        <x:v>Tài khoản &amp; Phân quyền</x:v>
      </x:c>
      <x:c r="G27" s="20" t="str">
        <x:v>Hiển thị tên và vai trò người đang đăng nhập</x:v>
      </x:c>
      <x:c r="H27" s="20" t="str">
        <x:v>Functional</x:v>
      </x:c>
      <x:c r="I27" s="20" t="str">
        <x:v>High</x:v>
      </x:c>
      <x:c r="J27" s="20" t="str">
        <x:v>nhân sự nội bộ</x:v>
      </x:c>
      <x:c r="K27" s="20" t="str">
        <x:v>Có staging, 7 tài khoản mẫu theo đúng vai trò; email test nội bộ.</x:v>
      </x:c>
      <x:c r="L27" s="20" t="str">
        <x:v>admin@ats.test; recruiter.a@ats.test; manager.a@ats.test; interviewer.a@ats.test</x:v>
      </x:c>
      <x:c r="M27" s="20" t="str">
        <x:v>1. Chuẩn bị dữ liệu: Có staging, 7 tài khoản mẫu theo đúng vai trò; email test nội bộ.
2. Đăng nhập bằng tài khoản vai trò 'nhân sự nội bộ' được phép thao tác.
3. Mở chức năng 'thấy menu điều hướng đúng theo quyền của mình' trên môi trường staging.
4. Đăng nhập user có hai role
5. mở sidebar/avatar
6. so sánh tên và danh sách role với API /me.
7. Ghi kết quả thực tế và đối chiếu tiêu chí S1-06-AC02.</x:v>
      </x:c>
      <x:c r="N27" s="20" t="str">
        <x:v>Hiển thị tên và vai trò người đang đăng nhập</x:v>
      </x:c>
      <x:c r="O27" s="20" t="str"/>
      <x:c r="P27" s="20" t="str">
        <x:v>Chưa chạy</x:v>
      </x:c>
      <x:c r="Q27" s="20" t="str"/>
      <x:c r="R27" s="20" t="str"/>
      <x:c r="S27" s="26" t="str"/>
      <x:c r="T27" s="20" t="str">
        <x:v>Ưu tiên tự động hóa</x:v>
      </x:c>
      <x:c r="U27" s="20" t="str">
        <x:v>Nguồn: 4. Product Backlog!F12, tiêu chí 2</x:v>
      </x:c>
      <x:c r="V27" s="20" t="str">
        <x:v>S1-06</x:v>
      </x:c>
      <x:c r="W27" s="20" t="str">
        <x:v>Backlog / AC</x:v>
      </x:c>
    </x:row>
    <x:row r="28" ht="92" customHeight="1">
      <x:c r="A28" s="20" t="str">
        <x:v>TC-S1-06-03</x:v>
      </x:c>
      <x:c r="B28" s="20" t="n">
        <x:v>1</x:v>
      </x:c>
      <x:c r="C28" s="20" t="str">
        <x:v>EP-01</x:v>
      </x:c>
      <x:c r="D28" s="20" t="str">
        <x:v>S1-06</x:v>
      </x:c>
      <x:c r="E28" s="20" t="str">
        <x:v>S1-06-AC03</x:v>
      </x:c>
      <x:c r="F28" s="20" t="str">
        <x:v>Tài khoản &amp; Phân quyền</x:v>
      </x:c>
      <x:c r="G28" s="20" t="str">
        <x:v>Dùng được thuận tiện trên màn hình 360px</x:v>
      </x:c>
      <x:c r="H28" s="20" t="str">
        <x:v>Boundary</x:v>
      </x:c>
      <x:c r="I28" s="20" t="str">
        <x:v>High</x:v>
      </x:c>
      <x:c r="J28" s="20" t="str">
        <x:v>nhân sự nội bộ</x:v>
      </x:c>
      <x:c r="K28" s="20" t="str">
        <x:v>Có staging, 7 tài khoản mẫu theo đúng vai trò; email test nội bộ.</x:v>
      </x:c>
      <x:c r="L28" s="20" t="str">
        <x:v>admin@ats.test; recruiter.a@ats.test; manager.a@ats.test; interviewer.a@ats.test</x:v>
      </x:c>
      <x:c r="M28" s="20" t="str">
        <x:v>1. Chuẩn bị dữ liệu: Có staging, 7 tài khoản mẫu theo đúng vai trò; email test nội bộ.
2. Đăng nhập bằng tài khoản vai trò 'nhân sự nội bộ' được phép thao tác.
3. Mở chức năng 'thấy menu điều hướng đúng theo quyền của mình' trên môi trường staging.
4. Chỉnh viewport 360px
5. mở/đóng sidebar, điều hướng 3 màn
6. kiểm tra tràn ngang và nút thao tác.
7. Ghi kết quả thực tế và đối chiếu tiêu chí S1-06-AC03.</x:v>
      </x:c>
      <x:c r="N28" s="20" t="str">
        <x:v>Dùng được thuận tiện trên màn hình 360px</x:v>
      </x:c>
      <x:c r="O28" s="20" t="str"/>
      <x:c r="P28" s="20" t="str">
        <x:v>Chưa chạy</x:v>
      </x:c>
      <x:c r="Q28" s="20" t="str"/>
      <x:c r="R28" s="20" t="str"/>
      <x:c r="S28" s="26" t="str"/>
      <x:c r="T28" s="20" t="str">
        <x:v>Ưu tiên tự động hóa</x:v>
      </x:c>
      <x:c r="U28" s="20" t="str">
        <x:v>Nguồn: 4. Product Backlog!F12, tiêu chí 3</x:v>
      </x:c>
      <x:c r="V28" s="20" t="str">
        <x:v>S1-06</x:v>
      </x:c>
      <x:c r="W28" s="20" t="str">
        <x:v>Backlog / AC</x:v>
      </x:c>
    </x:row>
    <x:row r="29" ht="92" customHeight="1">
      <x:c r="A29" s="20" t="str">
        <x:v>TC-S1-06-X01</x:v>
      </x:c>
      <x:c r="B29" s="20" t="n">
        <x:v>1</x:v>
      </x:c>
      <x:c r="C29" s="20" t="str">
        <x:v>EP-01</x:v>
      </x:c>
      <x:c r="D29" s="20" t="str">
        <x:v>S1-06</x:v>
      </x:c>
      <x:c r="E29" s="20" t="str">
        <x:v>QA-EXTRA</x:v>
      </x:c>
      <x:c r="F29" s="20" t="str">
        <x:v>Tài khoản &amp; Phân quyền</x:v>
      </x:c>
      <x:c r="G29" s="20" t="str">
        <x:v>Vai trò vừa bị thu hồi không còn menu hoặc quyền API</x:v>
      </x:c>
      <x:c r="H29" s="20" t="str">
        <x:v>Security / RBAC</x:v>
      </x:c>
      <x:c r="I29" s="20" t="str">
        <x:v>High</x:v>
      </x:c>
      <x:c r="J29" s="20" t="str">
        <x:v>nhân sự nội bộ</x:v>
      </x:c>
      <x:c r="K29" s="20" t="str">
        <x:v>Có staging, 7 tài khoản mẫu theo đúng vai trò; email test nội bộ.</x:v>
      </x:c>
      <x:c r="L29" s="20" t="str">
        <x:v>Tài khoản có Recruiter + Interviewer</x:v>
      </x:c>
      <x:c r="M29" s="20" t="str">
        <x:v>1. Đăng nhập
2. Admin thu hồi Recruiter
3. Reload/gọi API recruiter từ tab đang mở</x:v>
      </x:c>
      <x:c r="N29" s="20" t="str">
        <x:v>Menu cập nhật; API recruiter từ chối kể từ thao tác tiếp theo</x:v>
      </x:c>
      <x:c r="O29" s="20" t="str"/>
      <x:c r="P29" s="20" t="str">
        <x:v>Chưa chạy</x:v>
      </x:c>
      <x:c r="Q29" s="20" t="str"/>
      <x:c r="R29" s="20" t="str"/>
      <x:c r="S29" s="26" t="str"/>
      <x:c r="T29" s="20" t="str">
        <x:v>Ưu tiên tự động hóa</x:v>
      </x:c>
      <x:c r="U29" s="20" t="str">
        <x:v>Kịch bản rủi ro/biên; nếu vượt yêu cầu backlog, xác nhận PO.</x:v>
      </x:c>
      <x:c r="V29" s="20" t="str">
        <x:v>S1-06</x:v>
      </x:c>
      <x:c r="W29" s="20" t="str">
        <x:v>Bổ sung QA</x:v>
      </x:c>
    </x:row>
    <x:row r="30" ht="92" customHeight="1">
      <x:c r="A30" s="20" t="str">
        <x:v>TC-S1-07-01</x:v>
      </x:c>
      <x:c r="B30" s="20" t="n">
        <x:v>1</x:v>
      </x:c>
      <x:c r="C30" s="20" t="str">
        <x:v>EP-01</x:v>
      </x:c>
      <x:c r="D30" s="20" t="str">
        <x:v>S1-07</x:v>
      </x:c>
      <x:c r="E30" s="20" t="str">
        <x:v>S1-07-AC01</x:v>
      </x:c>
      <x:c r="F30" s="20" t="str">
        <x:v>Tài khoản &amp; Phân quyền</x:v>
      </x:c>
      <x:c r="G30" s="20" t="str">
        <x:v>Trang báo lỗi dùng chung giao diện ứng dụng</x:v>
      </x:c>
      <x:c r="H30" s="20" t="str">
        <x:v>Functional</x:v>
      </x:c>
      <x:c r="I30" s="20" t="str">
        <x:v>Medium</x:v>
      </x:c>
      <x:c r="J30" s="20" t="str">
        <x:v>nhân sự nội bộ</x:v>
      </x:c>
      <x:c r="K30" s="20" t="str">
        <x:v>Có staging, 7 tài khoản mẫu theo đúng vai trò; email test nội bộ.</x:v>
      </x:c>
      <x:c r="L30" s="20" t="str">
        <x:v>admin@ats.test; recruiter.a@ats.test; manager.a@ats.test; interviewer.a@ats.test</x:v>
      </x:c>
      <x:c r="M30" s="20" t="str">
        <x:v>1. Chuẩn bị dữ liệu: Có staging, 7 tài khoản mẫu theo đúng vai trò; email test nội bộ.
2. Đăng nhập bằng tài khoản vai trò 'nhân sự nội bộ' được phép thao tác.
3. Mở chức năng 'nhận thông báo rõ ràng khi truy cập nhầm chỗ hoặc không đủ quyền' trên môi trường staging.
4. Truy cập đường dẫn không tồn tại và đường dẫn bị chặn
5. kiểm tra giao diện lỗi chung, không có trang trắng.
6. Ghi kết quả thực tế và đối chiếu tiêu chí S1-07-AC01.</x:v>
      </x:c>
      <x:c r="N30" s="20" t="str">
        <x:v>Trang báo lỗi dùng chung giao diện ứng dụng</x:v>
      </x:c>
      <x:c r="O30" s="20" t="str"/>
      <x:c r="P30" s="20" t="str">
        <x:v>Chưa chạy</x:v>
      </x:c>
      <x:c r="Q30" s="20" t="str"/>
      <x:c r="R30" s="20" t="str"/>
      <x:c r="S30" s="26" t="str"/>
      <x:c r="T30" s="20" t="str">
        <x:v>Cân nhắc</x:v>
      </x:c>
      <x:c r="U30" s="20" t="str">
        <x:v>Nguồn: 4. Product Backlog!F13, tiêu chí 1</x:v>
      </x:c>
      <x:c r="V30" s="20" t="str">
        <x:v>S1-07</x:v>
      </x:c>
      <x:c r="W30" s="20" t="str">
        <x:v>Backlog / AC</x:v>
      </x:c>
    </x:row>
    <x:row r="31" ht="92" customHeight="1">
      <x:c r="A31" s="20" t="str">
        <x:v>TC-S1-07-02</x:v>
      </x:c>
      <x:c r="B31" s="20" t="n">
        <x:v>1</x:v>
      </x:c>
      <x:c r="C31" s="20" t="str">
        <x:v>EP-01</x:v>
      </x:c>
      <x:c r="D31" s="20" t="str">
        <x:v>S1-07</x:v>
      </x:c>
      <x:c r="E31" s="20" t="str">
        <x:v>S1-07-AC02</x:v>
      </x:c>
      <x:c r="F31" s="20" t="str">
        <x:v>Tài khoản &amp; Phân quyền</x:v>
      </x:c>
      <x:c r="G31" s="20" t="str">
        <x:v>Mỗi trang lỗi có một hành động gợi ý để quay lại luồng làm việc</x:v>
      </x:c>
      <x:c r="H31" s="20" t="str">
        <x:v>Functional</x:v>
      </x:c>
      <x:c r="I31" s="20" t="str">
        <x:v>Medium</x:v>
      </x:c>
      <x:c r="J31" s="20" t="str">
        <x:v>nhân sự nội bộ</x:v>
      </x:c>
      <x:c r="K31" s="20" t="str">
        <x:v>Có staging, 7 tài khoản mẫu theo đúng vai trò; email test nội bộ.</x:v>
      </x:c>
      <x:c r="L31" s="20" t="str">
        <x:v>admin@ats.test; recruiter.a@ats.test; manager.a@ats.test; interviewer.a@ats.test</x:v>
      </x:c>
      <x:c r="M31" s="20" t="str">
        <x:v>1. Chuẩn bị dữ liệu: Có staging, 7 tài khoản mẫu theo đúng vai trò; email test nội bộ.
2. Đăng nhập bằng tài khoản vai trò 'nhân sự nội bộ' được phép thao tác.
3. Mở chức năng 'nhận thông báo rõ ràng khi truy cập nhầm chỗ hoặc không đủ quyền' trên môi trường staging.
4. Ở 403/404/500 có kiểm soát, bấm nút Quay lại/Trang chủ
5. xác nhận về màn hình hợp quyền.
6. Ghi kết quả thực tế và đối chiếu tiêu chí S1-07-AC02.</x:v>
      </x:c>
      <x:c r="N31" s="20" t="str">
        <x:v>Mỗi trang lỗi có một hành động gợi ý để quay lại luồng làm việc</x:v>
      </x:c>
      <x:c r="O31" s="20" t="str"/>
      <x:c r="P31" s="20" t="str">
        <x:v>Chưa chạy</x:v>
      </x:c>
      <x:c r="Q31" s="20" t="str"/>
      <x:c r="R31" s="20" t="str"/>
      <x:c r="S31" s="26" t="str"/>
      <x:c r="T31" s="20" t="str">
        <x:v>Cân nhắc</x:v>
      </x:c>
      <x:c r="U31" s="20" t="str">
        <x:v>Nguồn: 4. Product Backlog!F13, tiêu chí 2</x:v>
      </x:c>
      <x:c r="V31" s="20" t="str">
        <x:v>S1-07</x:v>
      </x:c>
      <x:c r="W31" s="20" t="str">
        <x:v>Backlog / AC</x:v>
      </x:c>
    </x:row>
    <x:row r="32" ht="92" customHeight="1">
      <x:c r="A32" s="20" t="str">
        <x:v>TC-S1-07-X01</x:v>
      </x:c>
      <x:c r="B32" s="20" t="n">
        <x:v>1</x:v>
      </x:c>
      <x:c r="C32" s="20" t="str">
        <x:v>EP-01</x:v>
      </x:c>
      <x:c r="D32" s="20" t="str">
        <x:v>S1-07</x:v>
      </x:c>
      <x:c r="E32" s="20" t="str">
        <x:v>QA-EXTRA</x:v>
      </x:c>
      <x:c r="F32" s="20" t="str">
        <x:v>Tài khoản &amp; Phân quyền</x:v>
      </x:c>
      <x:c r="G32" s="20" t="str">
        <x:v>Phân biệt lỗi 404 và 403 trên đường dẫn sai</x:v>
      </x:c>
      <x:c r="H32" s="20" t="str">
        <x:v>Negative</x:v>
      </x:c>
      <x:c r="I32" s="20" t="str">
        <x:v>Medium</x:v>
      </x:c>
      <x:c r="J32" s="20" t="str">
        <x:v>nhân sự nội bộ</x:v>
      </x:c>
      <x:c r="K32" s="20" t="str">
        <x:v>Có staging, 7 tài khoản mẫu theo đúng vai trò; email test nội bộ.</x:v>
      </x:c>
      <x:c r="L32" s="20" t="str">
        <x:v>Đường dẫn không tồn tại và đường dẫn yêu cầu Admin</x:v>
      </x:c>
      <x:c r="M32" s="20" t="str">
        <x:v>1. Vào URL giả
2. Vào URL Admin bằng Recruiter
3. Quan sát điều hướng</x:v>
      </x:c>
      <x:c r="N32" s="20" t="str">
        <x:v>Hiển thị trang lỗi tiếng Việt tương ứng, có hành động điều hướng an toàn</x:v>
      </x:c>
      <x:c r="O32" s="20" t="str"/>
      <x:c r="P32" s="20" t="str">
        <x:v>Chưa chạy</x:v>
      </x:c>
      <x:c r="Q32" s="20" t="str"/>
      <x:c r="R32" s="20" t="str"/>
      <x:c r="S32" s="26" t="str"/>
      <x:c r="T32" s="20" t="str">
        <x:v>Cân nhắc</x:v>
      </x:c>
      <x:c r="U32" s="20" t="str">
        <x:v>Kịch bản rủi ro/biên; nếu vượt yêu cầu backlog, xác nhận PO.</x:v>
      </x:c>
      <x:c r="V32" s="20" t="str">
        <x:v>S1-07</x:v>
      </x:c>
      <x:c r="W32" s="20" t="str">
        <x:v>Bổ sung QA</x:v>
      </x:c>
    </x:row>
    <x:row r="33" ht="92" customHeight="1">
      <x:c r="A33" s="20" t="str">
        <x:v>TC-S1-08-01</x:v>
      </x:c>
      <x:c r="B33" s="20" t="n">
        <x:v>1</x:v>
      </x:c>
      <x:c r="C33" s="20" t="str">
        <x:v>EP-01</x:v>
      </x:c>
      <x:c r="D33" s="20" t="str">
        <x:v>S1-08</x:v>
      </x:c>
      <x:c r="E33" s="20" t="str">
        <x:v>S1-08-AC01</x:v>
      </x:c>
      <x:c r="F33" s="20" t="str">
        <x:v>Tài khoản &amp; Phân quyền</x:v>
      </x:c>
      <x:c r="G33" s="20" t="str">
        <x:v>Tạo tài khoản gửi email kích hoạt kèm mật khẩu tạm</x:v>
      </x:c>
      <x:c r="H33" s="20" t="str">
        <x:v>Functional</x:v>
      </x:c>
      <x:c r="I33" s="20" t="str">
        <x:v>High</x:v>
      </x:c>
      <x:c r="J33" s="20" t="str">
        <x:v>Quản trị hệ thống</x:v>
      </x:c>
      <x:c r="K33" s="20" t="str">
        <x:v>Có staging, 7 tài khoản mẫu theo đúng vai trò; email test nội bộ.</x:v>
      </x:c>
      <x:c r="L33" s="20" t="str">
        <x:v>admin@ats.test; recruiter.a@ats.test; manager.a@ats.test; interviewer.a@ats.test</x:v>
      </x:c>
      <x:c r="M33" s="20" t="str">
        <x:v>1. Chuẩn bị dữ liệu: Có staging, 7 tài khoản mẫu theo đúng vai trò; email test nội bộ.
2. Đăng nhập bằng tài khoản vai trò 'Quản trị hệ thống' được phép thao tác.
3. Mở chức năng 'tạo, sửa và tìm kiếm tài khoản nội bộ' trên môi trường staging.
4. Thực hiện thao tác phát sinh email/thông báo; đọc hộp thư sandbox và thông báo trong ứng dụng.
5. Đối chiếu người nhận, nội dung, thời điểm, trạng thái và việc chống gửi trùng.</x:v>
      </x:c>
      <x:c r="N33" s="20" t="str">
        <x:v>Tạo tài khoản gửi email kích hoạt kèm mật khẩu tạm</x:v>
      </x:c>
      <x:c r="O33" s="20" t="str"/>
      <x:c r="P33" s="20" t="str">
        <x:v>Chưa chạy</x:v>
      </x:c>
      <x:c r="Q33" s="20" t="str"/>
      <x:c r="R33" s="20" t="str"/>
      <x:c r="S33" s="26" t="str"/>
      <x:c r="T33" s="20" t="str">
        <x:v>Ưu tiên tự động hóa</x:v>
      </x:c>
      <x:c r="U33" s="20" t="str">
        <x:v>Nguồn: 4. Product Backlog!F14, tiêu chí 1</x:v>
      </x:c>
      <x:c r="V33" s="20" t="str">
        <x:v>S1-08</x:v>
      </x:c>
      <x:c r="W33" s="20" t="str">
        <x:v>Backlog / AC</x:v>
      </x:c>
    </x:row>
    <x:row r="34" ht="92" customHeight="1">
      <x:c r="A34" s="20" t="str">
        <x:v>TC-S1-08-02</x:v>
      </x:c>
      <x:c r="B34" s="20" t="n">
        <x:v>1</x:v>
      </x:c>
      <x:c r="C34" s="20" t="str">
        <x:v>EP-01</x:v>
      </x:c>
      <x:c r="D34" s="20" t="str">
        <x:v>S1-08</x:v>
      </x:c>
      <x:c r="E34" s="20" t="str">
        <x:v>S1-08-AC02</x:v>
      </x:c>
      <x:c r="F34" s="20" t="str">
        <x:v>Tài khoản &amp; Phân quyền</x:v>
      </x:c>
      <x:c r="G34" s="20" t="str">
        <x:v>Email trùng bị từ chối kèm thông báo cụ thể</x:v>
      </x:c>
      <x:c r="H34" s="20" t="str">
        <x:v>Negative / RBAC</x:v>
      </x:c>
      <x:c r="I34" s="20" t="str">
        <x:v>High</x:v>
      </x:c>
      <x:c r="J34" s="20" t="str">
        <x:v>Quản trị hệ thống</x:v>
      </x:c>
      <x:c r="K34" s="20" t="str">
        <x:v>Có staging, 7 tài khoản mẫu theo đúng vai trò; email test nội bộ.</x:v>
      </x:c>
      <x:c r="L34" s="20" t="str">
        <x:v>admin@ats.test; recruiter.a@ats.test; manager.a@ats.test; interviewer.a@ats.test</x:v>
      </x:c>
      <x:c r="M34" s="20" t="str">
        <x:v>1. Chuẩn bị dữ liệu: Có staging, 7 tài khoản mẫu theo đúng vai trò; email test nội bộ.
2. Đăng nhập bằng tài khoản vai trò 'Quản trị hệ thống' được phép thao tác.
3. Mở chức năng 'tạo, sửa và tìm kiếm tài khoản nội bộ' trên môi trường staging.
4. Tạo hai bản ghi/khung giờ có cùng khoá nghiệp vụ (email, số điện thoại, vị trí hoặc người/phòng trùng lịch).
5. Thực hiện lưu/gộp/đặt lịch và kiểm tra cảnh báo, dữ liệu sau thao tác.</x:v>
      </x:c>
      <x:c r="N34" s="20" t="str">
        <x:v>Email trùng bị từ chối kèm thông báo cụ thể</x:v>
      </x:c>
      <x:c r="O34" s="20" t="str"/>
      <x:c r="P34" s="20" t="str">
        <x:v>Chưa chạy</x:v>
      </x:c>
      <x:c r="Q34" s="20" t="str"/>
      <x:c r="R34" s="20" t="str"/>
      <x:c r="S34" s="26" t="str"/>
      <x:c r="T34" s="20" t="str">
        <x:v>Ưu tiên tự động hóa</x:v>
      </x:c>
      <x:c r="U34" s="20" t="str">
        <x:v>Nguồn: 4. Product Backlog!F14, tiêu chí 2</x:v>
      </x:c>
      <x:c r="V34" s="20" t="str">
        <x:v>S1-08</x:v>
      </x:c>
      <x:c r="W34" s="20" t="str">
        <x:v>Backlog / AC</x:v>
      </x:c>
    </x:row>
    <x:row r="35" ht="92" customHeight="1">
      <x:c r="A35" s="20" t="str">
        <x:v>TC-S1-08-03</x:v>
      </x:c>
      <x:c r="B35" s="20" t="n">
        <x:v>1</x:v>
      </x:c>
      <x:c r="C35" s="20" t="str">
        <x:v>EP-01</x:v>
      </x:c>
      <x:c r="D35" s="20" t="str">
        <x:v>S1-08</x:v>
      </x:c>
      <x:c r="E35" s="20" t="str">
        <x:v>S1-08-AC03</x:v>
      </x:c>
      <x:c r="F35" s="20" t="str">
        <x:v>Tài khoản &amp; Phân quyền</x:v>
      </x:c>
      <x:c r="G35" s="20" t="str">
        <x:v>Tìm theo tên, email, phòng ban; lọc theo vai trò và trạng thái</x:v>
      </x:c>
      <x:c r="H35" s="20" t="str">
        <x:v>Functional</x:v>
      </x:c>
      <x:c r="I35" s="20" t="str">
        <x:v>High</x:v>
      </x:c>
      <x:c r="J35" s="20" t="str">
        <x:v>Quản trị hệ thống</x:v>
      </x:c>
      <x:c r="K35" s="20" t="str">
        <x:v>Có staging, 7 tài khoản mẫu theo đúng vai trò; email test nội bộ.</x:v>
      </x:c>
      <x:c r="L35" s="20" t="str">
        <x:v>admin@ats.test; recruiter.a@ats.test; manager.a@ats.test; interviewer.a@ats.test</x:v>
      </x:c>
      <x:c r="M35" s="20" t="str">
        <x:v>1. Chuẩn bị dữ liệu: Có staging, 7 tài khoản mẫu theo đúng vai trò; email test nội bộ.
2. Đăng nhập bằng tài khoản vai trò 'Quản trị hệ thống' được phép thao tác.
3. Mở chức năng 'tạo, sửa và tìm kiếm tài khoản nội bộ' trên môi trường staging.
4. Thực hiện thao tác phát sinh email/thông báo; đọc hộp thư sandbox và thông báo trong ứng dụng.
5. Đối chiếu người nhận, nội dung, thời điểm, trạng thái và việc chống gửi trùng.</x:v>
      </x:c>
      <x:c r="N35" s="20" t="str">
        <x:v>Tìm theo tên, email, phòng ban; lọc theo vai trò và trạng thái</x:v>
      </x:c>
      <x:c r="O35" s="20" t="str"/>
      <x:c r="P35" s="20" t="str">
        <x:v>Chưa chạy</x:v>
      </x:c>
      <x:c r="Q35" s="20" t="str"/>
      <x:c r="R35" s="20" t="str"/>
      <x:c r="S35" s="26" t="str"/>
      <x:c r="T35" s="20" t="str">
        <x:v>Ưu tiên tự động hóa</x:v>
      </x:c>
      <x:c r="U35" s="20" t="str">
        <x:v>Nguồn: 4. Product Backlog!F14, tiêu chí 3</x:v>
      </x:c>
      <x:c r="V35" s="20" t="str">
        <x:v>S1-08</x:v>
      </x:c>
      <x:c r="W35" s="20" t="str">
        <x:v>Backlog / AC</x:v>
      </x:c>
    </x:row>
    <x:row r="36" ht="92" customHeight="1">
      <x:c r="A36" s="20" t="str">
        <x:v>TC-S1-08-04</x:v>
      </x:c>
      <x:c r="B36" s="20" t="n">
        <x:v>1</x:v>
      </x:c>
      <x:c r="C36" s="20" t="str">
        <x:v>EP-01</x:v>
      </x:c>
      <x:c r="D36" s="20" t="str">
        <x:v>S1-08</x:v>
      </x:c>
      <x:c r="E36" s="20" t="str">
        <x:v>S1-08-AC04</x:v>
      </x:c>
      <x:c r="F36" s="20" t="str">
        <x:v>Tài khoản &amp; Phân quyền</x:v>
      </x:c>
      <x:c r="G36" s="20" t="str">
        <x:v>Danh sách phân trang, mặc định 20 dòng</x:v>
      </x:c>
      <x:c r="H36" s="20" t="str">
        <x:v>Functional</x:v>
      </x:c>
      <x:c r="I36" s="20" t="str">
        <x:v>High</x:v>
      </x:c>
      <x:c r="J36" s="20" t="str">
        <x:v>Quản trị hệ thống</x:v>
      </x:c>
      <x:c r="K36" s="20" t="str">
        <x:v>Có staging, 7 tài khoản mẫu theo đúng vai trò; email test nội bộ.</x:v>
      </x:c>
      <x:c r="L36" s="20" t="str">
        <x:v>admin@ats.test; recruiter.a@ats.test; manager.a@ats.test; interviewer.a@ats.test</x:v>
      </x:c>
      <x:c r="M36" s="20" t="str">
        <x:v>1. Chuẩn bị dữ liệu: Có staging, 7 tài khoản mẫu theo đúng vai trò; email test nội bộ.
2. Đăng nhập bằng tài khoản vai trò 'Quản trị hệ thống' được phép thao tác.
3. Mở chức năng 'tạo, sửa và tìm kiếm tài khoản nội bộ' trên môi trường staging.
4. Tạo dữ liệu đối chứng thuộc và không thuộc điều kiện; áp dụng bộ lọc/tìm kiếm/sắp xếp tương ứng.
5. Đối chiếu danh sách/kết quả tổng hợp với dữ liệu gốc.</x:v>
      </x:c>
      <x:c r="N36" s="20" t="str">
        <x:v>Danh sách phân trang, mặc định 20 dòng</x:v>
      </x:c>
      <x:c r="O36" s="20" t="str"/>
      <x:c r="P36" s="20" t="str">
        <x:v>Chưa chạy</x:v>
      </x:c>
      <x:c r="Q36" s="20" t="str"/>
      <x:c r="R36" s="20" t="str"/>
      <x:c r="S36" s="26" t="str"/>
      <x:c r="T36" s="20" t="str">
        <x:v>Ưu tiên tự động hóa</x:v>
      </x:c>
      <x:c r="U36" s="20" t="str">
        <x:v>Nguồn: 4. Product Backlog!F14, tiêu chí 4</x:v>
      </x:c>
      <x:c r="V36" s="20" t="str">
        <x:v>S1-08</x:v>
      </x:c>
      <x:c r="W36" s="20" t="str">
        <x:v>Backlog / AC</x:v>
      </x:c>
    </x:row>
    <x:row r="37" ht="92" customHeight="1">
      <x:c r="A37" s="20" t="str">
        <x:v>TC-S1-08-X01</x:v>
      </x:c>
      <x:c r="B37" s="20" t="n">
        <x:v>1</x:v>
      </x:c>
      <x:c r="C37" s="20" t="str">
        <x:v>EP-01</x:v>
      </x:c>
      <x:c r="D37" s="20" t="str">
        <x:v>S1-08</x:v>
      </x:c>
      <x:c r="E37" s="20" t="str">
        <x:v>QA-EXTRA</x:v>
      </x:c>
      <x:c r="F37" s="20" t="str">
        <x:v>Tài khoản &amp; Phân quyền</x:v>
      </x:c>
      <x:c r="G37" s="20" t="str">
        <x:v>Email trùng khác chữ hoa/thường</x:v>
      </x:c>
      <x:c r="H37" s="20" t="str">
        <x:v>Boundary</x:v>
      </x:c>
      <x:c r="I37" s="20" t="str">
        <x:v>High</x:v>
      </x:c>
      <x:c r="J37" s="20" t="str">
        <x:v>Quản trị hệ thống</x:v>
      </x:c>
      <x:c r="K37" s="20" t="str">
        <x:v>Có staging, 7 tài khoản mẫu theo đúng vai trò; email test nội bộ.</x:v>
      </x:c>
      <x:c r="L37" s="20" t="str">
        <x:v>Tài khoản Demo@ats.test và demo@ats.test</x:v>
      </x:c>
      <x:c r="M37" s="20" t="str">
        <x:v>1. Tạo tài khoản Demo@ats.test
2. Tạo demo@ats.test
3. Tìm trong danh sách</x:v>
      </x:c>
      <x:c r="N37" s="20" t="str">
        <x:v>Không tạo hai tài khoản cho cùng email sau chuẩn hóa; thông báo trùng rõ ràng</x:v>
      </x:c>
      <x:c r="O37" s="20" t="str"/>
      <x:c r="P37" s="20" t="str">
        <x:v>Chưa chạy</x:v>
      </x:c>
      <x:c r="Q37" s="20" t="str"/>
      <x:c r="R37" s="20" t="str"/>
      <x:c r="S37" s="26" t="str"/>
      <x:c r="T37" s="20" t="str">
        <x:v>Ưu tiên tự động hóa</x:v>
      </x:c>
      <x:c r="U37" s="20" t="str">
        <x:v>Kịch bản rủi ro/biên; nếu vượt yêu cầu backlog, xác nhận PO.</x:v>
      </x:c>
      <x:c r="V37" s="20" t="str">
        <x:v>S1-08</x:v>
      </x:c>
      <x:c r="W37" s="20" t="str">
        <x:v>Bổ sung QA</x:v>
      </x:c>
    </x:row>
    <x:row r="38" ht="92" customHeight="1">
      <x:c r="A38" s="20" t="str">
        <x:v>TC-S1-09-01</x:v>
      </x:c>
      <x:c r="B38" s="20" t="n">
        <x:v>1</x:v>
      </x:c>
      <x:c r="C38" s="20" t="str">
        <x:v>EP-01</x:v>
      </x:c>
      <x:c r="D38" s="20" t="str">
        <x:v>S1-09</x:v>
      </x:c>
      <x:c r="E38" s="20" t="str">
        <x:v>S1-09-AC01</x:v>
      </x:c>
      <x:c r="F38" s="20" t="str">
        <x:v>Tài khoản &amp; Phân quyền</x:v>
      </x:c>
      <x:c r="G38" s="20" t="str">
        <x:v>Một người dùng có thể giữ nhiều vai trò cùng lúc</x:v>
      </x:c>
      <x:c r="H38" s="20" t="str">
        <x:v>Functional</x:v>
      </x:c>
      <x:c r="I38" s="20" t="str">
        <x:v>Critical</x:v>
      </x:c>
      <x:c r="J38" s="20" t="str">
        <x:v>Quản trị hệ thống</x:v>
      </x:c>
      <x:c r="K38" s="20" t="str">
        <x:v>Có staging, 7 tài khoản mẫu theo đúng vai trò; email test nội bộ.</x:v>
      </x:c>
      <x:c r="L38" s="20" t="str">
        <x:v>admin@ats.test; recruiter.a@ats.test; manager.a@ats.test; interviewer.a@ats.test</x:v>
      </x:c>
      <x:c r="M38" s="20" t="str">
        <x:v>1. Chuẩn bị dữ liệu: Có staging, 7 tài khoản mẫu theo đúng vai trò; email test nội bộ.
2. Đăng nhập bằng tài khoản vai trò 'Quản trị hệ thống' được phép thao tác.
3. Mở chức năng 'gán và thu hồi vai trò cho một người dùng' trên môi trường staging.
4. Admin gán Recruiter và Interviewer cho cùng user
5. đăng nhập
6. thực hiện nghiệp vụ của cả hai role.
7. Ghi kết quả thực tế và đối chiếu tiêu chí S1-09-AC01.</x:v>
      </x:c>
      <x:c r="N38" s="20" t="str">
        <x:v>Một người dùng có thể giữ nhiều vai trò cùng lúc</x:v>
      </x:c>
      <x:c r="O38" s="20" t="str"/>
      <x:c r="P38" s="20" t="str">
        <x:v>Chưa chạy</x:v>
      </x:c>
      <x:c r="Q38" s="20" t="str"/>
      <x:c r="R38" s="20" t="str"/>
      <x:c r="S38" s="26" t="str"/>
      <x:c r="T38" s="20" t="str">
        <x:v>Ưu tiên tự động hóa</x:v>
      </x:c>
      <x:c r="U38" s="20" t="str">
        <x:v>Nguồn: 4. Product Backlog!F15, tiêu chí 1</x:v>
      </x:c>
      <x:c r="V38" s="20" t="str">
        <x:v>S1-09</x:v>
      </x:c>
      <x:c r="W38" s="20" t="str">
        <x:v>Backlog / AC</x:v>
      </x:c>
    </x:row>
    <x:row r="39" ht="92" customHeight="1">
      <x:c r="A39" s="20" t="str">
        <x:v>TC-S1-09-02</x:v>
      </x:c>
      <x:c r="B39" s="20" t="n">
        <x:v>1</x:v>
      </x:c>
      <x:c r="C39" s="20" t="str">
        <x:v>EP-01</x:v>
      </x:c>
      <x:c r="D39" s="20" t="str">
        <x:v>S1-09</x:v>
      </x:c>
      <x:c r="E39" s="20" t="str">
        <x:v>S1-09-AC02</x:v>
      </x:c>
      <x:c r="F39" s="20" t="str">
        <x:v>Tài khoản &amp; Phân quyền</x:v>
      </x:c>
      <x:c r="G39" s="20" t="str">
        <x:v>Thay đổi vai trò có hiệu lực ngay ở thao tác kế tiếp</x:v>
      </x:c>
      <x:c r="H39" s="20" t="str">
        <x:v>Functional</x:v>
      </x:c>
      <x:c r="I39" s="20" t="str">
        <x:v>Critical</x:v>
      </x:c>
      <x:c r="J39" s="20" t="str">
        <x:v>Quản trị hệ thống</x:v>
      </x:c>
      <x:c r="K39" s="20" t="str">
        <x:v>Có staging, 7 tài khoản mẫu theo đúng vai trò; email test nội bộ.</x:v>
      </x:c>
      <x:c r="L39" s="20" t="str">
        <x:v>admin@ats.test; recruiter.a@ats.test; manager.a@ats.test; interviewer.a@ats.test</x:v>
      </x:c>
      <x:c r="M39" s="20" t="str">
        <x:v>1. Chuẩn bị dữ liệu: Có staging, 7 tài khoản mẫu theo đúng vai trò; email test nội bộ.
2. Đăng nhập bằng tài khoản vai trò 'Quản trị hệ thống' được phép thao tác.
3. Mở chức năng 'gán và thu hồi vai trò cho một người dùng' trên môi trường staging.
4. Mở hai tab cùng user
5. Admin gán/thu hồi role ở tab khác
6. gửi API mới ở tab đang mở.
7. Ghi kết quả thực tế và đối chiếu tiêu chí S1-09-AC02.</x:v>
      </x:c>
      <x:c r="N39" s="20" t="str">
        <x:v>Thay đổi vai trò có hiệu lực ngay ở thao tác kế tiếp</x:v>
      </x:c>
      <x:c r="O39" s="20" t="str"/>
      <x:c r="P39" s="20" t="str">
        <x:v>Chưa chạy</x:v>
      </x:c>
      <x:c r="Q39" s="20" t="str"/>
      <x:c r="R39" s="20" t="str"/>
      <x:c r="S39" s="26" t="str"/>
      <x:c r="T39" s="20" t="str">
        <x:v>Ưu tiên tự động hóa</x:v>
      </x:c>
      <x:c r="U39" s="20" t="str">
        <x:v>Nguồn: 4. Product Backlog!F15, tiêu chí 2</x:v>
      </x:c>
      <x:c r="V39" s="20" t="str">
        <x:v>S1-09</x:v>
      </x:c>
      <x:c r="W39" s="20" t="str">
        <x:v>Backlog / AC</x:v>
      </x:c>
    </x:row>
    <x:row r="40" ht="92" customHeight="1">
      <x:c r="A40" s="20" t="str">
        <x:v>TC-S1-09-03</x:v>
      </x:c>
      <x:c r="B40" s="20" t="n">
        <x:v>1</x:v>
      </x:c>
      <x:c r="C40" s="20" t="str">
        <x:v>EP-01</x:v>
      </x:c>
      <x:c r="D40" s="20" t="str">
        <x:v>S1-09</x:v>
      </x:c>
      <x:c r="E40" s="20" t="str">
        <x:v>S1-09-AC03</x:v>
      </x:c>
      <x:c r="F40" s="20" t="str">
        <x:v>Tài khoản &amp; Phân quyền</x:v>
      </x:c>
      <x:c r="G40" s="20" t="str">
        <x:v>Không thể tự thu hồi vai trò quản trị của chính mình</x:v>
      </x:c>
      <x:c r="H40" s="20" t="str">
        <x:v>Negative / RBAC</x:v>
      </x:c>
      <x:c r="I40" s="20" t="str">
        <x:v>Critical</x:v>
      </x:c>
      <x:c r="J40" s="20" t="str">
        <x:v>Quản trị hệ thống</x:v>
      </x:c>
      <x:c r="K40" s="20" t="str">
        <x:v>Có staging, 7 tài khoản mẫu theo đúng vai trò; email test nội bộ.</x:v>
      </x:c>
      <x:c r="L40" s="20" t="str">
        <x:v>admin@ats.test; recruiter.a@ats.test; manager.a@ats.test; interviewer.a@ats.test</x:v>
      </x:c>
      <x:c r="M40" s="20" t="str">
        <x:v>1. Chuẩn bị dữ liệu: Có staging, 7 tài khoản mẫu theo đúng vai trò; email test nội bộ.
2. Đăng nhập bằng tài khoản vai trò 'Quản trị hệ thống' được phép thao tác.
3. Mở chức năng 'gán và thu hồi vai trò cho một người dùng'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40" s="20" t="str">
        <x:v>Không thể tự thu hồi vai trò quản trị của chính mình</x:v>
      </x:c>
      <x:c r="O40" s="20" t="str"/>
      <x:c r="P40" s="20" t="str">
        <x:v>Chưa chạy</x:v>
      </x:c>
      <x:c r="Q40" s="20" t="str"/>
      <x:c r="R40" s="20" t="str"/>
      <x:c r="S40" s="26" t="str"/>
      <x:c r="T40" s="20" t="str">
        <x:v>Ưu tiên tự động hóa</x:v>
      </x:c>
      <x:c r="U40" s="20" t="str">
        <x:v>Nguồn: 4. Product Backlog!F15, tiêu chí 3</x:v>
      </x:c>
      <x:c r="V40" s="20" t="str">
        <x:v>S1-09</x:v>
      </x:c>
      <x:c r="W40" s="20" t="str">
        <x:v>Backlog / AC</x:v>
      </x:c>
    </x:row>
    <x:row r="41" ht="92" customHeight="1">
      <x:c r="A41" s="20" t="str">
        <x:v>TC-S1-09-X01</x:v>
      </x:c>
      <x:c r="B41" s="20" t="n">
        <x:v>1</x:v>
      </x:c>
      <x:c r="C41" s="20" t="str">
        <x:v>EP-01</x:v>
      </x:c>
      <x:c r="D41" s="20" t="str">
        <x:v>S1-09</x:v>
      </x:c>
      <x:c r="E41" s="20" t="str">
        <x:v>QA-EXTRA</x:v>
      </x:c>
      <x:c r="F41" s="20" t="str">
        <x:v>Tài khoản &amp; Phân quyền</x:v>
      </x:c>
      <x:c r="G41" s="20" t="str">
        <x:v>Chặn admin tự xóa role Admin qua API</x:v>
      </x:c>
      <x:c r="H41" s="20" t="str">
        <x:v>Security / RBAC</x:v>
      </x:c>
      <x:c r="I41" s="20" t="str">
        <x:v>Critical</x:v>
      </x:c>
      <x:c r="J41" s="20" t="str">
        <x:v>Quản trị hệ thống</x:v>
      </x:c>
      <x:c r="K41" s="20" t="str">
        <x:v>Có staging, 7 tài khoản mẫu theo đúng vai trò; email test nội bộ.</x:v>
      </x:c>
      <x:c r="L41" s="20" t="str">
        <x:v>Admin chỉ có một role Admin</x:v>
      </x:c>
      <x:c r="M41" s="20" t="str">
        <x:v>1. Đăng nhập Admin
2. Sửa payload gửi API thu hồi role Admin của chính mình
3. Làm mới phiên</x:v>
      </x:c>
      <x:c r="N41" s="20" t="str">
        <x:v>Server chặn thay đổi; quyền Admin không bị tự thu hồi</x:v>
      </x:c>
      <x:c r="O41" s="20" t="str"/>
      <x:c r="P41" s="20" t="str">
        <x:v>Chưa chạy</x:v>
      </x:c>
      <x:c r="Q41" s="20" t="str"/>
      <x:c r="R41" s="20" t="str"/>
      <x:c r="S41" s="26" t="str"/>
      <x:c r="T41" s="20" t="str">
        <x:v>Ưu tiên tự động hóa</x:v>
      </x:c>
      <x:c r="U41" s="20" t="str">
        <x:v>Kịch bản rủi ro/biên; nếu vượt yêu cầu backlog, xác nhận PO.</x:v>
      </x:c>
      <x:c r="V41" s="20" t="str">
        <x:v>S1-09</x:v>
      </x:c>
      <x:c r="W41" s="20" t="str">
        <x:v>Bổ sung QA</x:v>
      </x:c>
    </x:row>
    <x:row r="42" ht="92" customHeight="1">
      <x:c r="A42" s="20" t="str">
        <x:v>TC-S1-10-01</x:v>
      </x:c>
      <x:c r="B42" s="20" t="n">
        <x:v>1</x:v>
      </x:c>
      <x:c r="C42" s="20" t="str">
        <x:v>EP-01</x:v>
      </x:c>
      <x:c r="D42" s="20" t="str">
        <x:v>S1-10</x:v>
      </x:c>
      <x:c r="E42" s="20" t="str">
        <x:v>S1-10-AC01</x:v>
      </x:c>
      <x:c r="F42" s="20" t="str">
        <x:v>Tài khoản &amp; Phân quyền</x:v>
      </x:c>
      <x:c r="G42" s="20" t="str">
        <x:v>Tài khoản bị khoá không đăng nhập được và bị thu hồi phiên đang mở</x:v>
      </x:c>
      <x:c r="H42" s="20" t="str">
        <x:v>Negative / RBAC</x:v>
      </x:c>
      <x:c r="I42" s="20" t="str">
        <x:v>Critical</x:v>
      </x:c>
      <x:c r="J42" s="20" t="str">
        <x:v>Quản trị hệ thống</x:v>
      </x:c>
      <x:c r="K42" s="20" t="str">
        <x:v>Có staging, 7 tài khoản mẫu theo đúng vai trò; email test nội bộ.</x:v>
      </x:c>
      <x:c r="L42" s="20" t="str">
        <x:v>admin@ats.test; recruiter.a@ats.test; manager.a@ats.test; interviewer.a@ats.test</x:v>
      </x:c>
      <x:c r="M42" s="20" t="str">
        <x:v>1. Chuẩn bị dữ liệu: Có staging, 7 tài khoản mẫu theo đúng vai trò; email test nội bộ.
2. Đăng nhập bằng tài khoản vai trò 'Quản trị hệ thống' được phép thao tác.
3. Mở chức năng 'khoá và mở khoá tài khoản' trên môi trường staging.
4. User đăng nhập ở hai trình duyệt
5. Admin khóa user
6. thử request mới ở cả hai và đăng nhập mới.
7. Ghi kết quả thực tế và đối chiếu tiêu chí S1-10-AC01.</x:v>
      </x:c>
      <x:c r="N42" s="20" t="str">
        <x:v>Tài khoản bị khoá không đăng nhập được và bị thu hồi phiên đang mở</x:v>
      </x:c>
      <x:c r="O42" s="20" t="str"/>
      <x:c r="P42" s="20" t="str">
        <x:v>Chưa chạy</x:v>
      </x:c>
      <x:c r="Q42" s="20" t="str"/>
      <x:c r="R42" s="20" t="str"/>
      <x:c r="S42" s="26" t="str"/>
      <x:c r="T42" s="20" t="str">
        <x:v>Ưu tiên tự động hóa</x:v>
      </x:c>
      <x:c r="U42" s="20" t="str">
        <x:v>Nguồn: 4. Product Backlog!F16, tiêu chí 1</x:v>
      </x:c>
      <x:c r="V42" s="20" t="str">
        <x:v>S1-10</x:v>
      </x:c>
      <x:c r="W42" s="20" t="str">
        <x:v>Backlog / AC</x:v>
      </x:c>
    </x:row>
    <x:row r="43" ht="92" customHeight="1">
      <x:c r="A43" s="20" t="str">
        <x:v>TC-S1-10-02</x:v>
      </x:c>
      <x:c r="B43" s="20" t="n">
        <x:v>1</x:v>
      </x:c>
      <x:c r="C43" s="20" t="str">
        <x:v>EP-01</x:v>
      </x:c>
      <x:c r="D43" s="20" t="str">
        <x:v>S1-10</x:v>
      </x:c>
      <x:c r="E43" s="20" t="str">
        <x:v>S1-10-AC02</x:v>
      </x:c>
      <x:c r="F43" s="20" t="str">
        <x:v>Tài khoản &amp; Phân quyền</x:v>
      </x:c>
      <x:c r="G43" s="20" t="str">
        <x:v>Bắt buộc ghi lý do khoá</x:v>
      </x:c>
      <x:c r="H43" s="20" t="str">
        <x:v>Functional</x:v>
      </x:c>
      <x:c r="I43" s="20" t="str">
        <x:v>Critical</x:v>
      </x:c>
      <x:c r="J43" s="20" t="str">
        <x:v>Quản trị hệ thống</x:v>
      </x:c>
      <x:c r="K43" s="20" t="str">
        <x:v>Có staging, 7 tài khoản mẫu theo đúng vai trò; email test nội bộ.</x:v>
      </x:c>
      <x:c r="L43" s="20" t="str">
        <x:v>admin@ats.test; recruiter.a@ats.test; manager.a@ats.test; interviewer.a@ats.test</x:v>
      </x:c>
      <x:c r="M43" s="20" t="str">
        <x:v>1. Chuẩn bị dữ liệu: Có staging, 7 tài khoản mẫu theo đúng vai trò; email test nội bộ.
2. Đăng nhập bằng tài khoản vai trò 'Quản trị hệ thống' được phép thao tác.
3. Mở chức năng 'khoá và mở khoá tài khoản' trên môi trường staging.
4. Thử một bộ dữ liệu hợp lệ và một bộ thiếu/sai điều kiện bắt buộc; thực hiện Lưu/Gửi duyệt.
5. So sánh xác thực UI/API và dữ liệu được ghi.</x:v>
      </x:c>
      <x:c r="N43" s="20" t="str">
        <x:v>Bắt buộc ghi lý do khoá</x:v>
      </x:c>
      <x:c r="O43" s="20" t="str"/>
      <x:c r="P43" s="20" t="str">
        <x:v>Chưa chạy</x:v>
      </x:c>
      <x:c r="Q43" s="20" t="str"/>
      <x:c r="R43" s="20" t="str"/>
      <x:c r="S43" s="26" t="str"/>
      <x:c r="T43" s="20" t="str">
        <x:v>Ưu tiên tự động hóa</x:v>
      </x:c>
      <x:c r="U43" s="20" t="str">
        <x:v>Nguồn: 4. Product Backlog!F16, tiêu chí 2</x:v>
      </x:c>
      <x:c r="V43" s="20" t="str">
        <x:v>S1-10</x:v>
      </x:c>
      <x:c r="W43" s="20" t="str">
        <x:v>Backlog / AC</x:v>
      </x:c>
    </x:row>
    <x:row r="44" ht="92" customHeight="1">
      <x:c r="A44" s="20" t="str">
        <x:v>TC-S1-10-03</x:v>
      </x:c>
      <x:c r="B44" s="20" t="n">
        <x:v>1</x:v>
      </x:c>
      <x:c r="C44" s="20" t="str">
        <x:v>EP-01</x:v>
      </x:c>
      <x:c r="D44" s="20" t="str">
        <x:v>S1-10</x:v>
      </x:c>
      <x:c r="E44" s="20" t="str">
        <x:v>S1-10-AC03</x:v>
      </x:c>
      <x:c r="F44" s="20" t="str">
        <x:v>Tài khoản &amp; Phân quyền</x:v>
      </x:c>
      <x:c r="G44" s="20" t="str">
        <x:v>Vị trí tuyển dụng do người đó phụ trách được cảnh báo cần bàn giao</x:v>
      </x:c>
      <x:c r="H44" s="20" t="str">
        <x:v>Functional</x:v>
      </x:c>
      <x:c r="I44" s="20" t="str">
        <x:v>Critical</x:v>
      </x:c>
      <x:c r="J44" s="20" t="str">
        <x:v>Quản trị hệ thống</x:v>
      </x:c>
      <x:c r="K44" s="20" t="str">
        <x:v>Có staging, 7 tài khoản mẫu theo đúng vai trò; email test nội bộ.</x:v>
      </x:c>
      <x:c r="L44" s="20" t="str">
        <x:v>admin@ats.test; recruiter.a@ats.test; manager.a@ats.test; interviewer.a@ats.test</x:v>
      </x:c>
      <x:c r="M44" s="20" t="str">
        <x:v>1. Chuẩn bị dữ liệu: Có staging, 7 tài khoản mẫu theo đúng vai trò; email test nội bộ.
2. Đăng nhập bằng tài khoản vai trò 'Quản trị hệ thống' được phép thao tác.
3. Mở chức năng 'khoá và mở khoá tài khoản' trên môi trường staging.
4. Giao 1 vị trí cho recruiter
5. Admin khóa recruiter
6. xem danh sách bàn giao/cảnh báo HR.
7. Ghi kết quả thực tế và đối chiếu tiêu chí S1-10-AC03.</x:v>
      </x:c>
      <x:c r="N44" s="20" t="str">
        <x:v>Vị trí tuyển dụng do người đó phụ trách được cảnh báo cần bàn giao</x:v>
      </x:c>
      <x:c r="O44" s="20" t="str"/>
      <x:c r="P44" s="20" t="str">
        <x:v>Chưa chạy</x:v>
      </x:c>
      <x:c r="Q44" s="20" t="str"/>
      <x:c r="R44" s="20" t="str"/>
      <x:c r="S44" s="26" t="str"/>
      <x:c r="T44" s="20" t="str">
        <x:v>Ưu tiên tự động hóa</x:v>
      </x:c>
      <x:c r="U44" s="20" t="str">
        <x:v>Nguồn: 4. Product Backlog!F16, tiêu chí 3</x:v>
      </x:c>
      <x:c r="V44" s="20" t="str">
        <x:v>S1-10</x:v>
      </x:c>
      <x:c r="W44" s="20" t="str">
        <x:v>Backlog / AC</x:v>
      </x:c>
    </x:row>
    <x:row r="45" ht="92" customHeight="1">
      <x:c r="A45" s="20" t="str">
        <x:v>TC-S1-10-X01</x:v>
      </x:c>
      <x:c r="B45" s="20" t="n">
        <x:v>1</x:v>
      </x:c>
      <x:c r="C45" s="20" t="str">
        <x:v>EP-01</x:v>
      </x:c>
      <x:c r="D45" s="20" t="str">
        <x:v>S1-10</x:v>
      </x:c>
      <x:c r="E45" s="20" t="str">
        <x:v>QA-EXTRA</x:v>
      </x:c>
      <x:c r="F45" s="20" t="str">
        <x:v>Tài khoản &amp; Phân quyền</x:v>
      </x:c>
      <x:c r="G45" s="20" t="str">
        <x:v>Khóa tài khoản khi phiên vẫn đang hoạt động</x:v>
      </x:c>
      <x:c r="H45" s="20" t="str">
        <x:v>Security</x:v>
      </x:c>
      <x:c r="I45" s="20" t="str">
        <x:v>Critical</x:v>
      </x:c>
      <x:c r="J45" s="20" t="str">
        <x:v>Quản trị hệ thống</x:v>
      </x:c>
      <x:c r="K45" s="20" t="str">
        <x:v>Có staging, 7 tài khoản mẫu theo đúng vai trò; email test nội bộ.</x:v>
      </x:c>
      <x:c r="L45" s="20" t="str">
        <x:v>Recruiter đăng nhập tại 2 trình duyệt</x:v>
      </x:c>
      <x:c r="M45" s="20" t="str">
        <x:v>1. Đăng nhập hai nơi
2. Admin khóa tài khoản và ghi lý do
3. Gọi API từ cả hai phiên</x:v>
      </x:c>
      <x:c r="N45" s="20" t="str">
        <x:v>Cả hai phiên bị thu hồi và API bị từ chối ngay; có cảnh báo bàn giao</x:v>
      </x:c>
      <x:c r="O45" s="20" t="str"/>
      <x:c r="P45" s="20" t="str">
        <x:v>Chưa chạy</x:v>
      </x:c>
      <x:c r="Q45" s="20" t="str"/>
      <x:c r="R45" s="20" t="str"/>
      <x:c r="S45" s="26" t="str"/>
      <x:c r="T45" s="20" t="str">
        <x:v>Ưu tiên tự động hóa</x:v>
      </x:c>
      <x:c r="U45" s="20" t="str">
        <x:v>Kịch bản rủi ro/biên; nếu vượt yêu cầu backlog, xác nhận PO.</x:v>
      </x:c>
      <x:c r="V45" s="20" t="str">
        <x:v>S1-10</x:v>
      </x:c>
      <x:c r="W45" s="20" t="str">
        <x:v>Bổ sung QA</x:v>
      </x:c>
    </x:row>
    <x:row r="46" ht="92" customHeight="1">
      <x:c r="A46" s="20" t="str">
        <x:v>TC-S2-01-01</x:v>
      </x:c>
      <x:c r="B46" s="20" t="n">
        <x:v>2</x:v>
      </x:c>
      <x:c r="C46" s="20" t="str">
        <x:v>EP-01</x:v>
      </x:c>
      <x:c r="D46" s="20" t="str">
        <x:v>S2-01</x:v>
      </x:c>
      <x:c r="E46" s="20" t="str">
        <x:v>S2-01-AC01</x:v>
      </x:c>
      <x:c r="F46" s="20" t="str">
        <x:v>Tài khoản &amp; Phân quyền</x:v>
      </x:c>
      <x:c r="G46" s="20" t="str">
        <x:v>Tải được tệp mẫu</x:v>
      </x:c>
      <x:c r="H46" s="20" t="str">
        <x:v>Functional</x:v>
      </x:c>
      <x:c r="I46" s="20" t="str">
        <x:v>Medium</x:v>
      </x:c>
      <x:c r="J46" s="20" t="str">
        <x:v>Quản trị hệ thống</x:v>
      </x:c>
      <x:c r="K46" s="20" t="str">
        <x:v>Có HR Manager, Admin, nhân viên mẫu, phòng ban/chức danh test.</x:v>
      </x:c>
      <x:c r="L46" s="20" t="str">
        <x:v>Phòng Công nghệ; chức danh Backend Developer; dải lương 15–25 triệu VND</x:v>
      </x:c>
      <x:c r="M46" s="20" t="str">
        <x:v>1. Chuẩn bị dữ liệu: Có HR Manager, Admin, nhân viên mẫu, phòng ban/chức danh test.
2. Đăng nhập bằng tài khoản vai trò 'Quản trị hệ thống' được phép thao tác.
3. Mở chức năng 'nhập danh sách nhân sự hàng loạt từ tệp Excel' trên môi trường staging.
4. Đăng nhập Admin
5. mở import người dùng
6. tải file mẫu
7. kiểm tra các cột bắt buộc và định dạng.
8. Ghi kết quả thực tế và đối chiếu tiêu chí S2-01-AC01.</x:v>
      </x:c>
      <x:c r="N46" s="20" t="str">
        <x:v>Tải được tệp mẫu</x:v>
      </x:c>
      <x:c r="O46" s="20" t="str"/>
      <x:c r="P46" s="20" t="str">
        <x:v>Chưa chạy</x:v>
      </x:c>
      <x:c r="Q46" s="20" t="str"/>
      <x:c r="R46" s="20" t="str"/>
      <x:c r="S46" s="26" t="str"/>
      <x:c r="T46" s="20" t="str">
        <x:v>Cân nhắc</x:v>
      </x:c>
      <x:c r="U46" s="20" t="str">
        <x:v>Nguồn: 4. Product Backlog!F19, tiêu chí 1</x:v>
      </x:c>
      <x:c r="V46" s="20" t="str">
        <x:v>S2-01</x:v>
      </x:c>
      <x:c r="W46" s="20" t="str">
        <x:v>Backlog / AC</x:v>
      </x:c>
    </x:row>
    <x:row r="47" ht="92" customHeight="1">
      <x:c r="A47" s="20" t="str">
        <x:v>TC-S2-01-02</x:v>
      </x:c>
      <x:c r="B47" s="20" t="n">
        <x:v>2</x:v>
      </x:c>
      <x:c r="C47" s="20" t="str">
        <x:v>EP-01</x:v>
      </x:c>
      <x:c r="D47" s="20" t="str">
        <x:v>S2-01</x:v>
      </x:c>
      <x:c r="E47" s="20" t="str">
        <x:v>S2-01-AC02</x:v>
      </x:c>
      <x:c r="F47" s="20" t="str">
        <x:v>Tài khoản &amp; Phân quyền</x:v>
      </x:c>
      <x:c r="G47" s="20" t="str">
        <x:v>Xem trước và báo lỗi theo từng dòng trước khi nhập</x:v>
      </x:c>
      <x:c r="H47" s="20" t="str">
        <x:v>Functional</x:v>
      </x:c>
      <x:c r="I47" s="20" t="str">
        <x:v>Medium</x:v>
      </x:c>
      <x:c r="J47" s="20" t="str">
        <x:v>Quản trị hệ thống</x:v>
      </x:c>
      <x:c r="K47" s="20" t="str">
        <x:v>Có HR Manager, Admin, nhân viên mẫu, phòng ban/chức danh test.</x:v>
      </x:c>
      <x:c r="L47" s="20" t="str">
        <x:v>Phòng Công nghệ; chức danh Backend Developer; dải lương 15–25 triệu VND</x:v>
      </x:c>
      <x:c r="M47" s="20" t="str">
        <x:v>1. Chuẩn bị dữ liệu: Có HR Manager, Admin, nhân viên mẫu, phòng ban/chức danh test.
2. Đăng nhập bằng tài khoản vai trò 'Quản trị hệ thống' được phép thao tác.
3. Mở chức năng 'nhập danh sách nhân sự hàng loạt từ tệp Excel' trên môi trường staging.
4. Nhập file có 3 dòng hợp lệ và 2 lỗi email
5. bấm Xem trước
6. so khớp lỗi từng dòng trước khi xác nhận.
7. Ghi kết quả thực tế và đối chiếu tiêu chí S2-01-AC02.</x:v>
      </x:c>
      <x:c r="N47" s="20" t="str">
        <x:v>Xem trước và báo lỗi theo từng dòng trước khi nhập</x:v>
      </x:c>
      <x:c r="O47" s="20" t="str"/>
      <x:c r="P47" s="20" t="str">
        <x:v>Chưa chạy</x:v>
      </x:c>
      <x:c r="Q47" s="20" t="str"/>
      <x:c r="R47" s="20" t="str"/>
      <x:c r="S47" s="26" t="str"/>
      <x:c r="T47" s="20" t="str">
        <x:v>Cân nhắc</x:v>
      </x:c>
      <x:c r="U47" s="20" t="str">
        <x:v>Nguồn: 4. Product Backlog!F19, tiêu chí 2</x:v>
      </x:c>
      <x:c r="V47" s="20" t="str">
        <x:v>S2-01</x:v>
      </x:c>
      <x:c r="W47" s="20" t="str">
        <x:v>Backlog / AC</x:v>
      </x:c>
    </x:row>
    <x:row r="48" ht="92" customHeight="1">
      <x:c r="A48" s="20" t="str">
        <x:v>TC-S2-01-03</x:v>
      </x:c>
      <x:c r="B48" s="20" t="n">
        <x:v>2</x:v>
      </x:c>
      <x:c r="C48" s="20" t="str">
        <x:v>EP-01</x:v>
      </x:c>
      <x:c r="D48" s="20" t="str">
        <x:v>S2-01</x:v>
      </x:c>
      <x:c r="E48" s="20" t="str">
        <x:v>S2-01-AC03</x:v>
      </x:c>
      <x:c r="F48" s="20" t="str">
        <x:v>Tài khoản &amp; Phân quyền</x:v>
      </x:c>
      <x:c r="G48" s="20" t="str">
        <x:v>Dòng lỗi bị bỏ qua, dòng hợp lệ vẫn được nhập, có báo cáo tổng kết</x:v>
      </x:c>
      <x:c r="H48" s="20" t="str">
        <x:v>Functional</x:v>
      </x:c>
      <x:c r="I48" s="20" t="str">
        <x:v>Medium</x:v>
      </x:c>
      <x:c r="J48" s="20" t="str">
        <x:v>Quản trị hệ thống</x:v>
      </x:c>
      <x:c r="K48" s="20" t="str">
        <x:v>Có HR Manager, Admin, nhân viên mẫu, phòng ban/chức danh test.</x:v>
      </x:c>
      <x:c r="L48" s="20" t="str">
        <x:v>Phòng Công nghệ; chức danh Backend Developer; dải lương 15–25 triệu VND</x:v>
      </x:c>
      <x:c r="M48" s="20" t="str">
        <x:v>1. Chuẩn bị dữ liệu: Có HR Manager, Admin, nhân viên mẫu, phòng ban/chức danh test.
2. Đăng nhập bằng tài khoản vai trò 'Quản trị hệ thống' được phép thao tác.
3. Mở chức năng 'nhập danh sách nhân sự hàng loạt từ tệp Excel' trên môi trường staging.
4. Tạo dữ liệu đối chứng thuộc và không thuộc điều kiện; áp dụng bộ lọc/tìm kiếm/sắp xếp tương ứng.
5. Đối chiếu danh sách/kết quả tổng hợp với dữ liệu gốc.</x:v>
      </x:c>
      <x:c r="N48" s="20" t="str">
        <x:v>Dòng lỗi bị bỏ qua, dòng hợp lệ vẫn được nhập, có báo cáo tổng kết</x:v>
      </x:c>
      <x:c r="O48" s="20" t="str"/>
      <x:c r="P48" s="20" t="str">
        <x:v>Chưa chạy</x:v>
      </x:c>
      <x:c r="Q48" s="20" t="str"/>
      <x:c r="R48" s="20" t="str"/>
      <x:c r="S48" s="26" t="str"/>
      <x:c r="T48" s="20" t="str">
        <x:v>Cân nhắc</x:v>
      </x:c>
      <x:c r="U48" s="20" t="str">
        <x:v>Nguồn: 4. Product Backlog!F19, tiêu chí 3</x:v>
      </x:c>
      <x:c r="V48" s="20" t="str">
        <x:v>S2-01</x:v>
      </x:c>
      <x:c r="W48" s="20" t="str">
        <x:v>Backlog / AC</x:v>
      </x:c>
    </x:row>
    <x:row r="49" ht="92" customHeight="1">
      <x:c r="A49" s="20" t="str">
        <x:v>TC-S2-01-X01</x:v>
      </x:c>
      <x:c r="B49" s="20" t="n">
        <x:v>2</x:v>
      </x:c>
      <x:c r="C49" s="20" t="str">
        <x:v>EP-01</x:v>
      </x:c>
      <x:c r="D49" s="20" t="str">
        <x:v>S2-01</x:v>
      </x:c>
      <x:c r="E49" s="20" t="str">
        <x:v>QA-EXTRA</x:v>
      </x:c>
      <x:c r="F49" s="20" t="str">
        <x:v>Tài khoản &amp; Phân quyền</x:v>
      </x:c>
      <x:c r="G49" s="20" t="str">
        <x:v>Import Excel có dòng lỗi xen kẽ dòng hợp lệ</x:v>
      </x:c>
      <x:c r="H49" s="20" t="str">
        <x:v>Negative</x:v>
      </x:c>
      <x:c r="I49" s="20" t="str">
        <x:v>Medium</x:v>
      </x:c>
      <x:c r="J49" s="20" t="str">
        <x:v>Quản trị hệ thống</x:v>
      </x:c>
      <x:c r="K49" s="20" t="str">
        <x:v>Có HR Manager, Admin, nhân viên mẫu, phòng ban/chức danh test.</x:v>
      </x:c>
      <x:c r="L49" s="20" t="str">
        <x:v>3 dòng hợp lệ; 2 dòng thiếu email/trùng</x:v>
      </x:c>
      <x:c r="M49" s="20" t="str">
        <x:v>1. Tải mẫu
2. Tạo file 5 dòng
3. Import và xác nhận
4. Xem báo cáo</x:v>
      </x:c>
      <x:c r="N49" s="20" t="str">
        <x:v>Nhập 3 dòng hợp lệ; bỏ qua chính xác 2 dòng lỗi kèm lý do và tổng kết</x:v>
      </x:c>
      <x:c r="O49" s="20" t="str"/>
      <x:c r="P49" s="20" t="str">
        <x:v>Chưa chạy</x:v>
      </x:c>
      <x:c r="Q49" s="20" t="str"/>
      <x:c r="R49" s="20" t="str"/>
      <x:c r="S49" s="26" t="str"/>
      <x:c r="T49" s="20" t="str">
        <x:v>Cân nhắc</x:v>
      </x:c>
      <x:c r="U49" s="20" t="str">
        <x:v>Kịch bản rủi ro/biên; nếu vượt yêu cầu backlog, xác nhận PO.</x:v>
      </x:c>
      <x:c r="V49" s="20" t="str">
        <x:v>S2-01</x:v>
      </x:c>
      <x:c r="W49" s="20" t="str">
        <x:v>Bổ sung QA</x:v>
      </x:c>
    </x:row>
    <x:row r="50" ht="92" customHeight="1">
      <x:c r="A50" s="20" t="str">
        <x:v>TC-S2-02-01</x:v>
      </x:c>
      <x:c r="B50" s="20" t="n">
        <x:v>2</x:v>
      </x:c>
      <x:c r="C50" s="20" t="str">
        <x:v>EP-01</x:v>
      </x:c>
      <x:c r="D50" s="20" t="str">
        <x:v>S2-02</x:v>
      </x:c>
      <x:c r="E50" s="20" t="str">
        <x:v>S2-02-AC01</x:v>
      </x:c>
      <x:c r="F50" s="20" t="str">
        <x:v>Tài khoản &amp; Phân quyền</x:v>
      </x:c>
      <x:c r="G50" s="20" t="str">
        <x:v>Sửa được họ tên, số điện thoại, chức danh hiển thị</x:v>
      </x:c>
      <x:c r="H50" s="20" t="str">
        <x:v>Functional</x:v>
      </x:c>
      <x:c r="I50" s="20" t="str">
        <x:v>High</x:v>
      </x:c>
      <x:c r="J50" s="20" t="str">
        <x:v>nhân sự nội bộ</x:v>
      </x:c>
      <x:c r="K50" s="20" t="str">
        <x:v>Có HR Manager, Admin, nhân viên mẫu, phòng ban/chức danh test.</x:v>
      </x:c>
      <x:c r="L50" s="20" t="str">
        <x:v>Phòng Công nghệ; chức danh Backend Developer; dải lương 15–25 triệu VND</x:v>
      </x:c>
      <x:c r="M50" s="20" t="str">
        <x:v>1. Chuẩn bị dữ liệu: Có HR Manager, Admin, nhân viên mẫu, phòng ban/chức danh test.
2. Đăng nhập bằng tài khoản vai trò 'nhân sự nội bộ' được phép thao tác.
3. Mở chức năng 'xem và cập nhật hồ sơ cá nhân' trên môi trường staging.
4. User mở Hồ sơ của tôi
5. sửa tên, SĐT, chức danh
6. lưu rồi tải lại hồ sơ và kiểm tra API.
7. Ghi kết quả thực tế và đối chiếu tiêu chí S2-02-AC01.</x:v>
      </x:c>
      <x:c r="N50" s="20" t="str">
        <x:v>Sửa được họ tên, số điện thoại, chức danh hiển thị</x:v>
      </x:c>
      <x:c r="O50" s="20" t="str"/>
      <x:c r="P50" s="20" t="str">
        <x:v>Chưa chạy</x:v>
      </x:c>
      <x:c r="Q50" s="20" t="str"/>
      <x:c r="R50" s="20" t="str"/>
      <x:c r="S50" s="26" t="str"/>
      <x:c r="T50" s="20" t="str">
        <x:v>Ưu tiên tự động hóa</x:v>
      </x:c>
      <x:c r="U50" s="20" t="str">
        <x:v>Nguồn: 4. Product Backlog!F20, tiêu chí 1</x:v>
      </x:c>
      <x:c r="V50" s="20" t="str">
        <x:v>S2-02</x:v>
      </x:c>
      <x:c r="W50" s="20" t="str">
        <x:v>Backlog / AC</x:v>
      </x:c>
    </x:row>
    <x:row r="51" ht="92" customHeight="1">
      <x:c r="A51" s="20" t="str">
        <x:v>TC-S2-02-02</x:v>
      </x:c>
      <x:c r="B51" s="20" t="n">
        <x:v>2</x:v>
      </x:c>
      <x:c r="C51" s="20" t="str">
        <x:v>EP-01</x:v>
      </x:c>
      <x:c r="D51" s="20" t="str">
        <x:v>S2-02</x:v>
      </x:c>
      <x:c r="E51" s="20" t="str">
        <x:v>S2-02-AC02</x:v>
      </x:c>
      <x:c r="F51" s="20" t="str">
        <x:v>Tài khoản &amp; Phân quyền</x:v>
      </x:c>
      <x:c r="G51" s="20" t="str">
        <x:v>Không tự đổi được email, phòng ban và vai trò</x:v>
      </x:c>
      <x:c r="H51" s="20" t="str">
        <x:v>Negative / RBAC</x:v>
      </x:c>
      <x:c r="I51" s="20" t="str">
        <x:v>High</x:v>
      </x:c>
      <x:c r="J51" s="20" t="str">
        <x:v>nhân sự nội bộ</x:v>
      </x:c>
      <x:c r="K51" s="20" t="str">
        <x:v>Có HR Manager, Admin, nhân viên mẫu, phòng ban/chức danh test.</x:v>
      </x:c>
      <x:c r="L51" s="20" t="str">
        <x:v>Phòng Công nghệ; chức danh Backend Developer; dải lương 15–25 triệu VND</x:v>
      </x:c>
      <x:c r="M51" s="20" t="str">
        <x:v>1. Chuẩn bị dữ liệu: Có HR Manager, Admin, nhân viên mẫu, phòng ban/chức danh test.
2. Đăng nhập bằng tài khoản vai trò 'nhân sự nội bộ' được phép thao tác.
3. Mở chức năng 'xem và cập nhật hồ sơ cá nhân'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51" s="20" t="str">
        <x:v>Không tự đổi được email, phòng ban và vai trò</x:v>
      </x:c>
      <x:c r="O51" s="20" t="str"/>
      <x:c r="P51" s="20" t="str">
        <x:v>Chưa chạy</x:v>
      </x:c>
      <x:c r="Q51" s="20" t="str"/>
      <x:c r="R51" s="20" t="str"/>
      <x:c r="S51" s="26" t="str"/>
      <x:c r="T51" s="20" t="str">
        <x:v>Ưu tiên tự động hóa</x:v>
      </x:c>
      <x:c r="U51" s="20" t="str">
        <x:v>Nguồn: 4. Product Backlog!F20, tiêu chí 2</x:v>
      </x:c>
      <x:c r="V51" s="20" t="str">
        <x:v>S2-02</x:v>
      </x:c>
      <x:c r="W51" s="20" t="str">
        <x:v>Backlog / AC</x:v>
      </x:c>
    </x:row>
    <x:row r="52" ht="92" customHeight="1">
      <x:c r="A52" s="20" t="str">
        <x:v>TC-S2-02-03</x:v>
      </x:c>
      <x:c r="B52" s="20" t="n">
        <x:v>2</x:v>
      </x:c>
      <x:c r="C52" s="20" t="str">
        <x:v>EP-01</x:v>
      </x:c>
      <x:c r="D52" s="20" t="str">
        <x:v>S2-02</x:v>
      </x:c>
      <x:c r="E52" s="20" t="str">
        <x:v>S2-02-AC03</x:v>
      </x:c>
      <x:c r="F52" s="20" t="str">
        <x:v>Tài khoản &amp; Phân quyền</x:v>
      </x:c>
      <x:c r="G52" s="20" t="str">
        <x:v>Kiểm tra định dạng số điện thoại Việt Nam</x:v>
      </x:c>
      <x:c r="H52" s="20" t="str">
        <x:v>Functional</x:v>
      </x:c>
      <x:c r="I52" s="20" t="str">
        <x:v>High</x:v>
      </x:c>
      <x:c r="J52" s="20" t="str">
        <x:v>nhân sự nội bộ</x:v>
      </x:c>
      <x:c r="K52" s="20" t="str">
        <x:v>Có HR Manager, Admin, nhân viên mẫu, phòng ban/chức danh test.</x:v>
      </x:c>
      <x:c r="L52" s="20" t="str">
        <x:v>Phòng Công nghệ; chức danh Backend Developer; dải lương 15–25 triệu VND</x:v>
      </x:c>
      <x:c r="M52" s="20" t="str">
        <x:v>1. Chuẩn bị dữ liệu: Có HR Manager, Admin, nhân viên mẫu, phòng ban/chức danh test.
2. Đăng nhập bằng tài khoản vai trò 'nhân sự nội bộ' được phép thao tác.
3. Mở chức năng 'xem và cập nhật hồ sơ cá nhân' trên môi trường staging.
4. Thử số di động VN hợp lệ, quá ngắn, chứa chữ và mã vùng sai
5. so sánh thông báo và dữ liệu lưu.
6. Ghi kết quả thực tế và đối chiếu tiêu chí S2-02-AC03.</x:v>
      </x:c>
      <x:c r="N52" s="20" t="str">
        <x:v>Kiểm tra định dạng số điện thoại Việt Nam</x:v>
      </x:c>
      <x:c r="O52" s="20" t="str"/>
      <x:c r="P52" s="20" t="str">
        <x:v>Chưa chạy</x:v>
      </x:c>
      <x:c r="Q52" s="20" t="str"/>
      <x:c r="R52" s="20" t="str"/>
      <x:c r="S52" s="26" t="str"/>
      <x:c r="T52" s="20" t="str">
        <x:v>Ưu tiên tự động hóa</x:v>
      </x:c>
      <x:c r="U52" s="20" t="str">
        <x:v>Nguồn: 4. Product Backlog!F20, tiêu chí 3</x:v>
      </x:c>
      <x:c r="V52" s="20" t="str">
        <x:v>S2-02</x:v>
      </x:c>
      <x:c r="W52" s="20" t="str">
        <x:v>Backlog / AC</x:v>
      </x:c>
    </x:row>
    <x:row r="53" ht="92" customHeight="1">
      <x:c r="A53" s="20" t="str">
        <x:v>TC-S2-02-X01</x:v>
      </x:c>
      <x:c r="B53" s="20" t="n">
        <x:v>2</x:v>
      </x:c>
      <x:c r="C53" s="20" t="str">
        <x:v>EP-01</x:v>
      </x:c>
      <x:c r="D53" s="20" t="str">
        <x:v>S2-02</x:v>
      </x:c>
      <x:c r="E53" s="20" t="str">
        <x:v>QA-EXTRA</x:v>
      </x:c>
      <x:c r="F53" s="20" t="str">
        <x:v>Tài khoản &amp; Phân quyền</x:v>
      </x:c>
      <x:c r="G53" s="20" t="str">
        <x:v>Không được tự đổi vai trò bằng payload sửa hồ sơ</x:v>
      </x:c>
      <x:c r="H53" s="20" t="str">
        <x:v>Security / RBAC</x:v>
      </x:c>
      <x:c r="I53" s="20" t="str">
        <x:v>High</x:v>
      </x:c>
      <x:c r="J53" s="20" t="str">
        <x:v>nhân sự nội bộ</x:v>
      </x:c>
      <x:c r="K53" s="20" t="str">
        <x:v>Có HR Manager, Admin, nhân viên mẫu, phòng ban/chức danh test.</x:v>
      </x:c>
      <x:c r="L53" s="20" t="str">
        <x:v>User thường; payload gắn role Admin, phòng ban khác</x:v>
      </x:c>
      <x:c r="M53" s="20" t="str">
        <x:v>1. Đăng nhập User
2. Gửi API sửa hồ sơ kèm role và department_id
3. Tải lại hồ sơ</x:v>
      </x:c>
      <x:c r="N53" s="20" t="str">
        <x:v>Chỉ trường được phép thay đổi; role/phòng ban/email không đổi</x:v>
      </x:c>
      <x:c r="O53" s="20" t="str"/>
      <x:c r="P53" s="20" t="str">
        <x:v>Chưa chạy</x:v>
      </x:c>
      <x:c r="Q53" s="20" t="str"/>
      <x:c r="R53" s="20" t="str"/>
      <x:c r="S53" s="26" t="str"/>
      <x:c r="T53" s="20" t="str">
        <x:v>Ưu tiên tự động hóa</x:v>
      </x:c>
      <x:c r="U53" s="20" t="str">
        <x:v>Kịch bản rủi ro/biên; nếu vượt yêu cầu backlog, xác nhận PO.</x:v>
      </x:c>
      <x:c r="V53" s="20" t="str">
        <x:v>S2-02</x:v>
      </x:c>
      <x:c r="W53" s="20" t="str">
        <x:v>Bổ sung QA</x:v>
      </x:c>
    </x:row>
    <x:row r="54" ht="92" customHeight="1">
      <x:c r="A54" s="20" t="str">
        <x:v>TC-S2-03-01</x:v>
      </x:c>
      <x:c r="B54" s="20" t="n">
        <x:v>2</x:v>
      </x:c>
      <x:c r="C54" s="20" t="str">
        <x:v>EP-01</x:v>
      </x:c>
      <x:c r="D54" s="20" t="str">
        <x:v>S2-03</x:v>
      </x:c>
      <x:c r="E54" s="20" t="str">
        <x:v>S2-03-AC01</x:v>
      </x:c>
      <x:c r="F54" s="20" t="str">
        <x:v>Tài khoản &amp; Phân quyền</x:v>
      </x:c>
      <x:c r="G54" s="20" t="str">
        <x:v>Chấp nhận JPG/PNG tối đa 2MB</x:v>
      </x:c>
      <x:c r="H54" s="20" t="str">
        <x:v>Boundary</x:v>
      </x:c>
      <x:c r="I54" s="20" t="str">
        <x:v>Low</x:v>
      </x:c>
      <x:c r="J54" s="20" t="str">
        <x:v>nhân sự nội bộ</x:v>
      </x:c>
      <x:c r="K54" s="20" t="str">
        <x:v>Có HR Manager, Admin, nhân viên mẫu, phòng ban/chức danh test.</x:v>
      </x:c>
      <x:c r="L54" s="20" t="str">
        <x:v>Phòng Công nghệ; chức danh Backend Developer; dải lương 15–25 triệu VND</x:v>
      </x:c>
      <x:c r="M54" s="20" t="str">
        <x:v>1. Chuẩn bị dữ liệu: Có HR Manager, Admin, nhân viên mẫu, phòng ban/chức danh test.
2. Đăng nhập bằng tài khoản vai trò 'nhân sự nội bộ' được phép thao tác.
3. Mở chức năng 'tải lên ảnh đại diện' trên môi trường staging.
4. Thử một bộ dữ liệu hợp lệ và một bộ thiếu/sai điều kiện bắt buộc; thực hiện Lưu/Gửi duyệt.
5. So sánh xác thực UI/API và dữ liệu được ghi.</x:v>
      </x:c>
      <x:c r="N54" s="20" t="str">
        <x:v>Chấp nhận JPG/PNG tối đa 2MB</x:v>
      </x:c>
      <x:c r="O54" s="20" t="str"/>
      <x:c r="P54" s="20" t="str">
        <x:v>Chưa chạy</x:v>
      </x:c>
      <x:c r="Q54" s="20" t="str"/>
      <x:c r="R54" s="20" t="str"/>
      <x:c r="S54" s="26" t="str"/>
      <x:c r="T54" s="20" t="str">
        <x:v>Cân nhắc</x:v>
      </x:c>
      <x:c r="U54" s="20" t="str">
        <x:v>Nguồn: 4. Product Backlog!F21, tiêu chí 1</x:v>
      </x:c>
      <x:c r="V54" s="20" t="str">
        <x:v>S2-03</x:v>
      </x:c>
      <x:c r="W54" s="20" t="str">
        <x:v>Backlog / AC</x:v>
      </x:c>
    </x:row>
    <x:row r="55" ht="92" customHeight="1">
      <x:c r="A55" s="20" t="str">
        <x:v>TC-S2-03-02</x:v>
      </x:c>
      <x:c r="B55" s="20" t="n">
        <x:v>2</x:v>
      </x:c>
      <x:c r="C55" s="20" t="str">
        <x:v>EP-01</x:v>
      </x:c>
      <x:c r="D55" s="20" t="str">
        <x:v>S2-03</x:v>
      </x:c>
      <x:c r="E55" s="20" t="str">
        <x:v>S2-03-AC02</x:v>
      </x:c>
      <x:c r="F55" s="20" t="str">
        <x:v>Tài khoản &amp; Phân quyền</x:v>
      </x:c>
      <x:c r="G55" s="20" t="str">
        <x:v>Ảnh được cắt vuông và tạo bản thu nhỏ</x:v>
      </x:c>
      <x:c r="H55" s="20" t="str">
        <x:v>Functional</x:v>
      </x:c>
      <x:c r="I55" s="20" t="str">
        <x:v>Low</x:v>
      </x:c>
      <x:c r="J55" s="20" t="str">
        <x:v>nhân sự nội bộ</x:v>
      </x:c>
      <x:c r="K55" s="20" t="str">
        <x:v>Có HR Manager, Admin, nhân viên mẫu, phòng ban/chức danh test.</x:v>
      </x:c>
      <x:c r="L55" s="20" t="str">
        <x:v>Phòng Công nghệ; chức danh Backend Developer; dải lương 15–25 triệu VND</x:v>
      </x:c>
      <x:c r="M55" s="20" t="str">
        <x:v>1. Chuẩn bị dữ liệu: Có HR Manager, Admin, nhân viên mẫu, phòng ban/chức danh test.
2. Đăng nhập bằng tài khoản vai trò 'nhân sự nội bộ' được phép thao tác.
3. Mở chức năng 'tải lên ảnh đại diện' trên môi trường staging.
4. Tải PNG chữ nhật hợp lệ
5. thực hiện crop vuông
6. lưu
7. tải avatar thumbnail và kiểm tra tỉ lệ.
8. Ghi kết quả thực tế và đối chiếu tiêu chí S2-03-AC02.</x:v>
      </x:c>
      <x:c r="N55" s="20" t="str">
        <x:v>Ảnh được cắt vuông và tạo bản thu nhỏ</x:v>
      </x:c>
      <x:c r="O55" s="20" t="str"/>
      <x:c r="P55" s="20" t="str">
        <x:v>Chưa chạy</x:v>
      </x:c>
      <x:c r="Q55" s="20" t="str"/>
      <x:c r="R55" s="20" t="str"/>
      <x:c r="S55" s="26" t="str"/>
      <x:c r="T55" s="20" t="str">
        <x:v>Cân nhắc</x:v>
      </x:c>
      <x:c r="U55" s="20" t="str">
        <x:v>Nguồn: 4. Product Backlog!F21, tiêu chí 2</x:v>
      </x:c>
      <x:c r="V55" s="20" t="str">
        <x:v>S2-03</x:v>
      </x:c>
      <x:c r="W55" s="20" t="str">
        <x:v>Backlog / AC</x:v>
      </x:c>
    </x:row>
    <x:row r="56" ht="92" customHeight="1">
      <x:c r="A56" s="20" t="str">
        <x:v>TC-S2-03-X01</x:v>
      </x:c>
      <x:c r="B56" s="20" t="n">
        <x:v>2</x:v>
      </x:c>
      <x:c r="C56" s="20" t="str">
        <x:v>EP-01</x:v>
      </x:c>
      <x:c r="D56" s="20" t="str">
        <x:v>S2-03</x:v>
      </x:c>
      <x:c r="E56" s="20" t="str">
        <x:v>QA-EXTRA</x:v>
      </x:c>
      <x:c r="F56" s="20" t="str">
        <x:v>Tài khoản &amp; Phân quyền</x:v>
      </x:c>
      <x:c r="G56" s="20" t="str">
        <x:v>Từ chối ảnh đại diện giả định dạng</x:v>
      </x:c>
      <x:c r="H56" s="20" t="str">
        <x:v>Security</x:v>
      </x:c>
      <x:c r="I56" s="20" t="str">
        <x:v>Low</x:v>
      </x:c>
      <x:c r="J56" s="20" t="str">
        <x:v>nhân sự nội bộ</x:v>
      </x:c>
      <x:c r="K56" s="20" t="str">
        <x:v>Có HR Manager, Admin, nhân viên mẫu, phòng ban/chức danh test.</x:v>
      </x:c>
      <x:c r="L56" s="20" t="str">
        <x:v>Tệp .svg hoặc file text đổi đuôi .jpg</x:v>
      </x:c>
      <x:c r="M56" s="20" t="str">
        <x:v>1. Mở đổi avatar
2. Tải tệp sai MIME
3. Kiểm tra ảnh cũ và kho file</x:v>
      </x:c>
      <x:c r="N56" s="20" t="str">
        <x:v>Tệp không hợp lệ bị từ chối; avatar cũ giữ nguyên; không sinh file thực thi</x:v>
      </x:c>
      <x:c r="O56" s="20" t="str"/>
      <x:c r="P56" s="20" t="str">
        <x:v>Chưa chạy</x:v>
      </x:c>
      <x:c r="Q56" s="20" t="str"/>
      <x:c r="R56" s="20" t="str"/>
      <x:c r="S56" s="26" t="str"/>
      <x:c r="T56" s="20" t="str">
        <x:v>Cân nhắc</x:v>
      </x:c>
      <x:c r="U56" s="20" t="str">
        <x:v>Kịch bản rủi ro/biên; nếu vượt yêu cầu backlog, xác nhận PO.</x:v>
      </x:c>
      <x:c r="V56" s="20" t="str">
        <x:v>S2-03</x:v>
      </x:c>
      <x:c r="W56" s="20" t="str">
        <x:v>Bổ sung QA</x:v>
      </x:c>
    </x:row>
    <x:row r="57" ht="92" customHeight="1">
      <x:c r="A57" s="20" t="str">
        <x:v>TC-S2-04-01</x:v>
      </x:c>
      <x:c r="B57" s="20" t="n">
        <x:v>2</x:v>
      </x:c>
      <x:c r="C57" s="20" t="str">
        <x:v>EP-02</x:v>
      </x:c>
      <x:c r="D57" s="20" t="str">
        <x:v>S2-04</x:v>
      </x:c>
      <x:c r="E57" s="20" t="str">
        <x:v>S2-04-AC01</x:v>
      </x:c>
      <x:c r="F57" s="20" t="str">
        <x:v>Danh mục tổ chức</x:v>
      </x:c>
      <x:c r="G57" s="20" t="str">
        <x:v>Phòng ban có cấu trúc cây nhiều cấp</x:v>
      </x:c>
      <x:c r="H57" s="20" t="str">
        <x:v>Functional</x:v>
      </x:c>
      <x:c r="I57" s="20" t="str">
        <x:v>High</x:v>
      </x:c>
      <x:c r="J57" s="20" t="str">
        <x:v>Trưởng phòng Nhân sự</x:v>
      </x:c>
      <x:c r="K57" s="20" t="str">
        <x:v>Có HR Manager, Admin, nhân viên mẫu, phòng ban/chức danh test.</x:v>
      </x:c>
      <x:c r="L57" s="20" t="str">
        <x:v>Phòng Công nghệ; chức danh Backend Developer; dải lương 15–25 triệu VND</x:v>
      </x:c>
      <x:c r="M57" s="20" t="str">
        <x:v>1. Chuẩn bị dữ liệu: Có HR Manager, Admin, nhân viên mẫu, phòng ban/chức danh test.
2. Đăng nhập bằng tài khoản vai trò 'Trưởng phòng Nhân sự' được phép thao tác.
3. Mở chức năng 'khai báo phòng ban và sơ đồ tổ chức' trên môi trường staging.
4. Tạo phòng ban A &gt; B &gt; C
5. mở cây tổ chức
6. sửa parent C rồi tải lại cây.
7. Ghi kết quả thực tế và đối chiếu tiêu chí S2-04-AC01.</x:v>
      </x:c>
      <x:c r="N57" s="20" t="str">
        <x:v>Phòng ban có cấu trúc cây nhiều cấp</x:v>
      </x:c>
      <x:c r="O57" s="20" t="str"/>
      <x:c r="P57" s="20" t="str">
        <x:v>Chưa chạy</x:v>
      </x:c>
      <x:c r="Q57" s="20" t="str"/>
      <x:c r="R57" s="20" t="str"/>
      <x:c r="S57" s="26" t="str"/>
      <x:c r="T57" s="20" t="str">
        <x:v>Ưu tiên tự động hóa</x:v>
      </x:c>
      <x:c r="U57" s="20" t="str">
        <x:v>Nguồn: 4. Product Backlog!F22, tiêu chí 1</x:v>
      </x:c>
      <x:c r="V57" s="20" t="str">
        <x:v>S2-04</x:v>
      </x:c>
      <x:c r="W57" s="20" t="str">
        <x:v>Backlog / AC</x:v>
      </x:c>
    </x:row>
    <x:row r="58" ht="92" customHeight="1">
      <x:c r="A58" s="20" t="str">
        <x:v>TC-S2-04-02</x:v>
      </x:c>
      <x:c r="B58" s="20" t="n">
        <x:v>2</x:v>
      </x:c>
      <x:c r="C58" s="20" t="str">
        <x:v>EP-02</x:v>
      </x:c>
      <x:c r="D58" s="20" t="str">
        <x:v>S2-04</x:v>
      </x:c>
      <x:c r="E58" s="20" t="str">
        <x:v>S2-04-AC02</x:v>
      </x:c>
      <x:c r="F58" s="20" t="str">
        <x:v>Danh mục tổ chức</x:v>
      </x:c>
      <x:c r="G58" s="20" t="str">
        <x:v>Mỗi phòng ban có một người phụ trách</x:v>
      </x:c>
      <x:c r="H58" s="20" t="str">
        <x:v>Functional</x:v>
      </x:c>
      <x:c r="I58" s="20" t="str">
        <x:v>High</x:v>
      </x:c>
      <x:c r="J58" s="20" t="str">
        <x:v>Trưởng phòng Nhân sự</x:v>
      </x:c>
      <x:c r="K58" s="20" t="str">
        <x:v>Có HR Manager, Admin, nhân viên mẫu, phòng ban/chức danh test.</x:v>
      </x:c>
      <x:c r="L58" s="20" t="str">
        <x:v>Phòng Công nghệ; chức danh Backend Developer; dải lương 15–25 triệu VND</x:v>
      </x:c>
      <x:c r="M58" s="20" t="str">
        <x:v>1. Chuẩn bị dữ liệu: Có HR Manager, Admin, nhân viên mẫu, phòng ban/chức danh test.
2. Đăng nhập bằng tài khoản vai trò 'Trưởng phòng Nhân sự' được phép thao tác.
3. Mở chức năng 'khai báo phòng ban và sơ đồ tổ chức' trên môi trường staging.
4. Tạo phòng ban mới không có người phụ trách
5. thử lưu
6. sau đó gắn Manager hợp lệ và lưu.
7. Ghi kết quả thực tế và đối chiếu tiêu chí S2-04-AC02.</x:v>
      </x:c>
      <x:c r="N58" s="20" t="str">
        <x:v>Mỗi phòng ban có một người phụ trách</x:v>
      </x:c>
      <x:c r="O58" s="20" t="str"/>
      <x:c r="P58" s="20" t="str">
        <x:v>Chưa chạy</x:v>
      </x:c>
      <x:c r="Q58" s="20" t="str"/>
      <x:c r="R58" s="20" t="str"/>
      <x:c r="S58" s="26" t="str"/>
      <x:c r="T58" s="20" t="str">
        <x:v>Ưu tiên tự động hóa</x:v>
      </x:c>
      <x:c r="U58" s="20" t="str">
        <x:v>Nguồn: 4. Product Backlog!F22, tiêu chí 2</x:v>
      </x:c>
      <x:c r="V58" s="20" t="str">
        <x:v>S2-04</x:v>
      </x:c>
      <x:c r="W58" s="20" t="str">
        <x:v>Backlog / AC</x:v>
      </x:c>
    </x:row>
    <x:row r="59" ht="92" customHeight="1">
      <x:c r="A59" s="20" t="str">
        <x:v>TC-S2-04-03</x:v>
      </x:c>
      <x:c r="B59" s="20" t="n">
        <x:v>2</x:v>
      </x:c>
      <x:c r="C59" s="20" t="str">
        <x:v>EP-02</x:v>
      </x:c>
      <x:c r="D59" s="20" t="str">
        <x:v>S2-04</x:v>
      </x:c>
      <x:c r="E59" s="20" t="str">
        <x:v>S2-04-AC03</x:v>
      </x:c>
      <x:c r="F59" s="20" t="str">
        <x:v>Danh mục tổ chức</x:v>
      </x:c>
      <x:c r="G59" s="20" t="str">
        <x:v>Phòng ban đang có yêu cầu tuyển dụng mở thì không xoá được, chỉ ngừng áp dụng</x:v>
      </x:c>
      <x:c r="H59" s="20" t="str">
        <x:v>Negative / RBAC</x:v>
      </x:c>
      <x:c r="I59" s="20" t="str">
        <x:v>High</x:v>
      </x:c>
      <x:c r="J59" s="20" t="str">
        <x:v>Trưởng phòng Nhân sự</x:v>
      </x:c>
      <x:c r="K59" s="20" t="str">
        <x:v>Có HR Manager, Admin, nhân viên mẫu, phòng ban/chức danh test.</x:v>
      </x:c>
      <x:c r="L59" s="20" t="str">
        <x:v>Phòng Công nghệ; chức danh Backend Developer; dải lương 15–25 triệu VND</x:v>
      </x:c>
      <x:c r="M59" s="20" t="str">
        <x:v>1. Chuẩn bị dữ liệu: Có HR Manager, Admin, nhân viên mẫu, phòng ban/chức danh test.
2. Đăng nhập bằng tài khoản vai trò 'Trưởng phòng Nhân sự' được phép thao tác.
3. Mở chức năng 'khai báo phòng ban và sơ đồ tổ chức'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59" s="20" t="str">
        <x:v>Phòng ban đang có yêu cầu tuyển dụng mở thì không xoá được, chỉ ngừng áp dụng</x:v>
      </x:c>
      <x:c r="O59" s="20" t="str"/>
      <x:c r="P59" s="20" t="str">
        <x:v>Chưa chạy</x:v>
      </x:c>
      <x:c r="Q59" s="20" t="str"/>
      <x:c r="R59" s="20" t="str"/>
      <x:c r="S59" s="26" t="str"/>
      <x:c r="T59" s="20" t="str">
        <x:v>Ưu tiên tự động hóa</x:v>
      </x:c>
      <x:c r="U59" s="20" t="str">
        <x:v>Nguồn: 4. Product Backlog!F22, tiêu chí 3</x:v>
      </x:c>
      <x:c r="V59" s="20" t="str">
        <x:v>S2-04</x:v>
      </x:c>
      <x:c r="W59" s="20" t="str">
        <x:v>Backlog / AC</x:v>
      </x:c>
    </x:row>
    <x:row r="60" ht="92" customHeight="1">
      <x:c r="A60" s="20" t="str">
        <x:v>TC-S2-04-X01</x:v>
      </x:c>
      <x:c r="B60" s="20" t="n">
        <x:v>2</x:v>
      </x:c>
      <x:c r="C60" s="20" t="str">
        <x:v>EP-02</x:v>
      </x:c>
      <x:c r="D60" s="20" t="str">
        <x:v>S2-04</x:v>
      </x:c>
      <x:c r="E60" s="20" t="str">
        <x:v>QA-EXTRA</x:v>
      </x:c>
      <x:c r="F60" s="20" t="str">
        <x:v>Danh mục tổ chức</x:v>
      </x:c>
      <x:c r="G60" s="20" t="str">
        <x:v>Ngăn sơ đồ tổ chức tạo chu trình</x:v>
      </x:c>
      <x:c r="H60" s="20" t="str">
        <x:v>Boundary</x:v>
      </x:c>
      <x:c r="I60" s="20" t="str">
        <x:v>High</x:v>
      </x:c>
      <x:c r="J60" s="20" t="str">
        <x:v>Trưởng phòng Nhân sự</x:v>
      </x:c>
      <x:c r="K60" s="20" t="str">
        <x:v>Có HR Manager, Admin, nhân viên mẫu, phòng ban/chức danh test.</x:v>
      </x:c>
      <x:c r="L60" s="20" t="str">
        <x:v>Phòng A cha B; thử đặt A dưới B</x:v>
      </x:c>
      <x:c r="M60" s="20" t="str">
        <x:v>1. Tạo A và B
2. Đặt B thuộc A
3. Sửa A thuộc B</x:v>
      </x:c>
      <x:c r="N60" s="20" t="str">
        <x:v>Server từ chối cây có chu trình; quan hệ phòng ban giữ nguyên</x:v>
      </x:c>
      <x:c r="O60" s="20" t="str"/>
      <x:c r="P60" s="20" t="str">
        <x:v>Chưa chạy</x:v>
      </x:c>
      <x:c r="Q60" s="20" t="str"/>
      <x:c r="R60" s="20" t="str"/>
      <x:c r="S60" s="26" t="str"/>
      <x:c r="T60" s="20" t="str">
        <x:v>Ưu tiên tự động hóa</x:v>
      </x:c>
      <x:c r="U60" s="20" t="str">
        <x:v>Kịch bản rủi ro/biên; nếu vượt yêu cầu backlog, xác nhận PO.</x:v>
      </x:c>
      <x:c r="V60" s="20" t="str">
        <x:v>S2-04</x:v>
      </x:c>
      <x:c r="W60" s="20" t="str">
        <x:v>Bổ sung QA</x:v>
      </x:c>
    </x:row>
    <x:row r="61" ht="92" customHeight="1">
      <x:c r="A61" s="20" t="str">
        <x:v>TC-S2-05-01</x:v>
      </x:c>
      <x:c r="B61" s="20" t="n">
        <x:v>2</x:v>
      </x:c>
      <x:c r="C61" s="20" t="str">
        <x:v>EP-02</x:v>
      </x:c>
      <x:c r="D61" s="20" t="str">
        <x:v>S2-05</x:v>
      </x:c>
      <x:c r="E61" s="20" t="str">
        <x:v>S2-05-AC01</x:v>
      </x:c>
      <x:c r="F61" s="20" t="str">
        <x:v>Danh mục tổ chức</x:v>
      </x:c>
      <x:c r="G61" s="20" t="str">
        <x:v>Mỗi chức danh có mã, tên, cấp bậc, dải lương tối thiểu và tối đa</x:v>
      </x:c>
      <x:c r="H61" s="20" t="str">
        <x:v>Boundary</x:v>
      </x:c>
      <x:c r="I61" s="20" t="str">
        <x:v>High</x:v>
      </x:c>
      <x:c r="J61" s="20" t="str">
        <x:v>Trưởng phòng Nhân sự</x:v>
      </x:c>
      <x:c r="K61" s="20" t="str">
        <x:v>Có HR Manager, Admin, nhân viên mẫu, phòng ban/chức danh test.</x:v>
      </x:c>
      <x:c r="L61" s="20" t="str">
        <x:v>Phòng Công nghệ; chức danh Backend Developer; dải lương 15–25 triệu VND</x:v>
      </x:c>
      <x:c r="M61" s="20" t="str">
        <x:v>1. Chuẩn bị dữ liệu: Có HR Manager, Admin, nhân viên mẫu, phòng ban/chức danh test.
2. Đăng nhập bằng tài khoản vai trò 'Trưởng phòng Nhân sự' được phép thao tác.
3. Mở chức năng 'khai báo danh mục chức danh và dải lương' trên môi trường staging.
4. Thử một bộ dữ liệu hợp lệ và một bộ thiếu/sai điều kiện bắt buộc; thực hiện Lưu/Gửi duyệt.
5. So sánh xác thực UI/API và dữ liệu được ghi.</x:v>
      </x:c>
      <x:c r="N61" s="20" t="str">
        <x:v>Mỗi chức danh có mã, tên, cấp bậc, dải lương tối thiểu và tối đa</x:v>
      </x:c>
      <x:c r="O61" s="20" t="str"/>
      <x:c r="P61" s="20" t="str">
        <x:v>Chưa chạy</x:v>
      </x:c>
      <x:c r="Q61" s="20" t="str"/>
      <x:c r="R61" s="20" t="str"/>
      <x:c r="S61" s="26" t="str"/>
      <x:c r="T61" s="20" t="str">
        <x:v>Ưu tiên tự động hóa</x:v>
      </x:c>
      <x:c r="U61" s="20" t="str">
        <x:v>Nguồn: 4. Product Backlog!F23, tiêu chí 1</x:v>
      </x:c>
      <x:c r="V61" s="20" t="str">
        <x:v>S2-05</x:v>
      </x:c>
      <x:c r="W61" s="20" t="str">
        <x:v>Backlog / AC</x:v>
      </x:c>
    </x:row>
    <x:row r="62" ht="92" customHeight="1">
      <x:c r="A62" s="20" t="str">
        <x:v>TC-S2-05-02</x:v>
      </x:c>
      <x:c r="B62" s="20" t="n">
        <x:v>2</x:v>
      </x:c>
      <x:c r="C62" s="20" t="str">
        <x:v>EP-02</x:v>
      </x:c>
      <x:c r="D62" s="20" t="str">
        <x:v>S2-05</x:v>
      </x:c>
      <x:c r="E62" s="20" t="str">
        <x:v>S2-05-AC02</x:v>
      </x:c>
      <x:c r="F62" s="20" t="str">
        <x:v>Danh mục tổ chức</x:v>
      </x:c>
      <x:c r="G62" s="20" t="str">
        <x:v>Dải lương dùng làm hạn mức duyệt offer về sau</x:v>
      </x:c>
      <x:c r="H62" s="20" t="str">
        <x:v>Functional</x:v>
      </x:c>
      <x:c r="I62" s="20" t="str">
        <x:v>High</x:v>
      </x:c>
      <x:c r="J62" s="20" t="str">
        <x:v>Trưởng phòng Nhân sự</x:v>
      </x:c>
      <x:c r="K62" s="20" t="str">
        <x:v>Có HR Manager, Admin, nhân viên mẫu, phòng ban/chức danh test.</x:v>
      </x:c>
      <x:c r="L62" s="20" t="str">
        <x:v>Phòng Công nghệ; chức danh Backend Developer; dải lương 15–25 triệu VND</x:v>
      </x:c>
      <x:c r="M62" s="20" t="str">
        <x:v>1. Chuẩn bị dữ liệu: Có HR Manager, Admin, nhân viên mẫu, phòng ban/chức danh test.
2. Đăng nhập bằng tài khoản vai trò 'Trưởng phòng Nhân sự' được phép thao tác.
3. Mở chức năng 'khai báo danh mục chức danh và dải lương' trên môi trường staging.
4. Tạo chức danh dải 15–25 triệu
5. tạo offer 20 triệu và 30 triệu
6. đối chiếu mức phân cấp duyệt.
7. Ghi kết quả thực tế và đối chiếu tiêu chí S2-05-AC02.</x:v>
      </x:c>
      <x:c r="N62" s="20" t="str">
        <x:v>Dải lương dùng làm hạn mức duyệt offer về sau</x:v>
      </x:c>
      <x:c r="O62" s="20" t="str"/>
      <x:c r="P62" s="20" t="str">
        <x:v>Chưa chạy</x:v>
      </x:c>
      <x:c r="Q62" s="20" t="str"/>
      <x:c r="R62" s="20" t="str"/>
      <x:c r="S62" s="26" t="str"/>
      <x:c r="T62" s="20" t="str">
        <x:v>Ưu tiên tự động hóa</x:v>
      </x:c>
      <x:c r="U62" s="20" t="str">
        <x:v>Nguồn: 4. Product Backlog!F23, tiêu chí 2</x:v>
      </x:c>
      <x:c r="V62" s="20" t="str">
        <x:v>S2-05</x:v>
      </x:c>
      <x:c r="W62" s="20" t="str">
        <x:v>Backlog / AC</x:v>
      </x:c>
    </x:row>
    <x:row r="63" ht="92" customHeight="1">
      <x:c r="A63" s="20" t="str">
        <x:v>TC-S2-05-03</x:v>
      </x:c>
      <x:c r="B63" s="20" t="n">
        <x:v>2</x:v>
      </x:c>
      <x:c r="C63" s="20" t="str">
        <x:v>EP-02</x:v>
      </x:c>
      <x:c r="D63" s="20" t="str">
        <x:v>S2-05</x:v>
      </x:c>
      <x:c r="E63" s="20" t="str">
        <x:v>S2-05-AC03</x:v>
      </x:c>
      <x:c r="F63" s="20" t="str">
        <x:v>Danh mục tổ chức</x:v>
      </x:c>
      <x:c r="G63" s="20" t="str">
        <x:v>Chỉ Trưởng phòng Nhân sự xem được dải lương</x:v>
      </x:c>
      <x:c r="H63" s="20" t="str">
        <x:v>Negative / RBAC</x:v>
      </x:c>
      <x:c r="I63" s="20" t="str">
        <x:v>High</x:v>
      </x:c>
      <x:c r="J63" s="20" t="str">
        <x:v>Trưởng phòng Nhân sự</x:v>
      </x:c>
      <x:c r="K63" s="20" t="str">
        <x:v>Có HR Manager, Admin, nhân viên mẫu, phòng ban/chức danh test.</x:v>
      </x:c>
      <x:c r="L63" s="20" t="str">
        <x:v>Phòng Công nghệ; chức danh Backend Developer; dải lương 15–25 triệu VND</x:v>
      </x:c>
      <x:c r="M63" s="20" t="str">
        <x:v>1. Chuẩn bị dữ liệu: Có HR Manager, Admin, nhân viên mẫu, phòng ban/chức danh test.
2. Đăng nhập bằng tài khoản vai trò 'Trưởng phòng Nhân sự' được phép thao tác.
3. Mở chức năng 'khai báo danh mục chức danh và dải lương'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63" s="20" t="str">
        <x:v>Chỉ Trưởng phòng Nhân sự xem được dải lương</x:v>
      </x:c>
      <x:c r="O63" s="20" t="str"/>
      <x:c r="P63" s="20" t="str">
        <x:v>Chưa chạy</x:v>
      </x:c>
      <x:c r="Q63" s="20" t="str"/>
      <x:c r="R63" s="20" t="str"/>
      <x:c r="S63" s="26" t="str"/>
      <x:c r="T63" s="20" t="str">
        <x:v>Ưu tiên tự động hóa</x:v>
      </x:c>
      <x:c r="U63" s="20" t="str">
        <x:v>Nguồn: 4. Product Backlog!F23, tiêu chí 3</x:v>
      </x:c>
      <x:c r="V63" s="20" t="str">
        <x:v>S2-05</x:v>
      </x:c>
      <x:c r="W63" s="20" t="str">
        <x:v>Backlog / AC</x:v>
      </x:c>
    </x:row>
    <x:row r="64" ht="92" customHeight="1">
      <x:c r="A64" s="20" t="str">
        <x:v>TC-S2-05-X01</x:v>
      </x:c>
      <x:c r="B64" s="20" t="n">
        <x:v>2</x:v>
      </x:c>
      <x:c r="C64" s="20" t="str">
        <x:v>EP-02</x:v>
      </x:c>
      <x:c r="D64" s="20" t="str">
        <x:v>S2-05</x:v>
      </x:c>
      <x:c r="E64" s="20" t="str">
        <x:v>QA-EXTRA</x:v>
      </x:c>
      <x:c r="F64" s="20" t="str">
        <x:v>Danh mục tổ chức</x:v>
      </x:c>
      <x:c r="G64" s="20" t="str">
        <x:v>Dải lương min lớn hơn max</x:v>
      </x:c>
      <x:c r="H64" s="20" t="str">
        <x:v>Boundary</x:v>
      </x:c>
      <x:c r="I64" s="20" t="str">
        <x:v>High</x:v>
      </x:c>
      <x:c r="J64" s="20" t="str">
        <x:v>Trưởng phòng Nhân sự</x:v>
      </x:c>
      <x:c r="K64" s="20" t="str">
        <x:v>Có HR Manager, Admin, nhân viên mẫu, phòng ban/chức danh test.</x:v>
      </x:c>
      <x:c r="L64" s="20" t="str">
        <x:v>Lương min 30 triệu, max 20 triệu</x:v>
      </x:c>
      <x:c r="M64" s="20" t="str">
        <x:v>1. HR Manager tạo/sửa chức danh
2. Nhập dải lương ngược
3. Lưu</x:v>
      </x:c>
      <x:c r="N64" s="20" t="str">
        <x:v>Chặn lưu dải lương không hợp lệ; không tạo dữ liệu lỗi</x:v>
      </x:c>
      <x:c r="O64" s="20" t="str"/>
      <x:c r="P64" s="20" t="str">
        <x:v>Chưa chạy</x:v>
      </x:c>
      <x:c r="Q64" s="20" t="str"/>
      <x:c r="R64" s="20" t="str"/>
      <x:c r="S64" s="26" t="str"/>
      <x:c r="T64" s="20" t="str">
        <x:v>Ưu tiên tự động hóa</x:v>
      </x:c>
      <x:c r="U64" s="20" t="str">
        <x:v>Kịch bản rủi ro/biên; nếu vượt yêu cầu backlog, xác nhận PO.</x:v>
      </x:c>
      <x:c r="V64" s="20" t="str">
        <x:v>S2-05</x:v>
      </x:c>
      <x:c r="W64" s="20" t="str">
        <x:v>Bổ sung QA</x:v>
      </x:c>
    </x:row>
    <x:row r="65" ht="92" customHeight="1">
      <x:c r="A65" s="20" t="str">
        <x:v>TC-S2-06-01</x:v>
      </x:c>
      <x:c r="B65" s="20" t="n">
        <x:v>2</x:v>
      </x:c>
      <x:c r="C65" s="20" t="str">
        <x:v>EP-02</x:v>
      </x:c>
      <x:c r="D65" s="20" t="str">
        <x:v>S2-06</x:v>
      </x:c>
      <x:c r="E65" s="20" t="str">
        <x:v>S2-06-AC01</x:v>
      </x:c>
      <x:c r="F65" s="20" t="str">
        <x:v>Danh mục tổ chức</x:v>
      </x:c>
      <x:c r="G65" s="20" t="str">
        <x:v>Mỗi chức danh gắn với một bộ tiêu chí đánh giá, mỗi tiêu chí có trọng số</x:v>
      </x:c>
      <x:c r="H65" s="20" t="str">
        <x:v>Functional</x:v>
      </x:c>
      <x:c r="I65" s="20" t="str">
        <x:v>High</x:v>
      </x:c>
      <x:c r="J65" s="20" t="str">
        <x:v>Trưởng phòng Nhân sự</x:v>
      </x:c>
      <x:c r="K65" s="20" t="str">
        <x:v>Có HR Manager, Admin, nhân viên mẫu, phòng ban/chức danh test.</x:v>
      </x:c>
      <x:c r="L65" s="20" t="str">
        <x:v>Phòng Công nghệ; chức danh Backend Developer; dải lương 15–25 triệu VND</x:v>
      </x:c>
      <x:c r="M65" s="20" t="str">
        <x:v>1. Chuẩn bị dữ liệu: Có HR Manager, Admin, nhân viên mẫu, phòng ban/chức danh test.
2. Đăng nhập bằng tài khoản vai trò 'Trưởng phòng Nhân sự' được phép thao tác.
3. Mở chức năng 'khai báo khung năng lực cho từng chức danh' trên môi trường staging.
4. Tạo chức danh
5. thêm ba tiêu chí và trọng số
6. lưu
7. mở lại chức danh và khung liên kết.
8. Ghi kết quả thực tế và đối chiếu tiêu chí S2-06-AC01.</x:v>
      </x:c>
      <x:c r="N65" s="20" t="str">
        <x:v>Mỗi chức danh gắn với một bộ tiêu chí đánh giá, mỗi tiêu chí có trọng số</x:v>
      </x:c>
      <x:c r="O65" s="20" t="str"/>
      <x:c r="P65" s="20" t="str">
        <x:v>Chưa chạy</x:v>
      </x:c>
      <x:c r="Q65" s="20" t="str"/>
      <x:c r="R65" s="20" t="str"/>
      <x:c r="S65" s="26" t="str"/>
      <x:c r="T65" s="20" t="str">
        <x:v>Ưu tiên tự động hóa</x:v>
      </x:c>
      <x:c r="U65" s="20" t="str">
        <x:v>Nguồn: 4. Product Backlog!F24, tiêu chí 1</x:v>
      </x:c>
      <x:c r="V65" s="20" t="str">
        <x:v>S2-06</x:v>
      </x:c>
      <x:c r="W65" s="20" t="str">
        <x:v>Backlog / AC</x:v>
      </x:c>
    </x:row>
    <x:row r="66" ht="92" customHeight="1">
      <x:c r="A66" s="20" t="str">
        <x:v>TC-S2-06-02</x:v>
      </x:c>
      <x:c r="B66" s="20" t="n">
        <x:v>2</x:v>
      </x:c>
      <x:c r="C66" s="20" t="str">
        <x:v>EP-02</x:v>
      </x:c>
      <x:c r="D66" s="20" t="str">
        <x:v>S2-06</x:v>
      </x:c>
      <x:c r="E66" s="20" t="str">
        <x:v>S2-06-AC02</x:v>
      </x:c>
      <x:c r="F66" s="20" t="str">
        <x:v>Danh mục tổ chức</x:v>
      </x:c>
      <x:c r="G66" s="20" t="str">
        <x:v>Tổng trọng số của một khung bằng 100%</x:v>
      </x:c>
      <x:c r="H66" s="20" t="str">
        <x:v>Functional</x:v>
      </x:c>
      <x:c r="I66" s="20" t="str">
        <x:v>High</x:v>
      </x:c>
      <x:c r="J66" s="20" t="str">
        <x:v>Trưởng phòng Nhân sự</x:v>
      </x:c>
      <x:c r="K66" s="20" t="str">
        <x:v>Có HR Manager, Admin, nhân viên mẫu, phòng ban/chức danh test.</x:v>
      </x:c>
      <x:c r="L66" s="20" t="str">
        <x:v>Phòng Công nghệ; chức danh Backend Developer; dải lương 15–25 triệu VND</x:v>
      </x:c>
      <x:c r="M66" s="20" t="str">
        <x:v>1. Chuẩn bị dữ liệu: Có HR Manager, Admin, nhân viên mẫu, phòng ban/chức danh test.
2. Đăng nhập bằng tài khoản vai trò 'Trưởng phòng Nhân sự' được phép thao tác.
3. Mở chức năng 'khai báo khung năng lực cho từng chức danh' trên môi trường staging.
4. Nhập trọng số 60 + 40 rồi 60 + 39
5. thử lưu cả hai cấu hình.
6. Ghi kết quả thực tế và đối chiếu tiêu chí S2-06-AC02.</x:v>
      </x:c>
      <x:c r="N66" s="20" t="str">
        <x:v>Tổng trọng số của một khung bằng 100%</x:v>
      </x:c>
      <x:c r="O66" s="20" t="str"/>
      <x:c r="P66" s="20" t="str">
        <x:v>Chưa chạy</x:v>
      </x:c>
      <x:c r="Q66" s="20" t="str"/>
      <x:c r="R66" s="20" t="str"/>
      <x:c r="S66" s="26" t="str"/>
      <x:c r="T66" s="20" t="str">
        <x:v>Ưu tiên tự động hóa</x:v>
      </x:c>
      <x:c r="U66" s="20" t="str">
        <x:v>Nguồn: 4. Product Backlog!F24, tiêu chí 2</x:v>
      </x:c>
      <x:c r="V66" s="20" t="str">
        <x:v>S2-06</x:v>
      </x:c>
      <x:c r="W66" s="20" t="str">
        <x:v>Backlog / AC</x:v>
      </x:c>
    </x:row>
    <x:row r="67" ht="92" customHeight="1">
      <x:c r="A67" s="20" t="str">
        <x:v>TC-S2-06-03</x:v>
      </x:c>
      <x:c r="B67" s="20" t="n">
        <x:v>2</x:v>
      </x:c>
      <x:c r="C67" s="20" t="str">
        <x:v>EP-02</x:v>
      </x:c>
      <x:c r="D67" s="20" t="str">
        <x:v>S2-06</x:v>
      </x:c>
      <x:c r="E67" s="20" t="str">
        <x:v>S2-06-AC03</x:v>
      </x:c>
      <x:c r="F67" s="20" t="str">
        <x:v>Danh mục tổ chức</x:v>
      </x:c>
      <x:c r="G67" s="20" t="str">
        <x:v>Khung năng lực dùng lại được cho nhiều chức danh</x:v>
      </x:c>
      <x:c r="H67" s="20" t="str">
        <x:v>Functional</x:v>
      </x:c>
      <x:c r="I67" s="20" t="str">
        <x:v>High</x:v>
      </x:c>
      <x:c r="J67" s="20" t="str">
        <x:v>Trưởng phòng Nhân sự</x:v>
      </x:c>
      <x:c r="K67" s="20" t="str">
        <x:v>Có HR Manager, Admin, nhân viên mẫu, phòng ban/chức danh test.</x:v>
      </x:c>
      <x:c r="L67" s="20" t="str">
        <x:v>Phòng Công nghệ; chức danh Backend Developer; dải lương 15–25 triệu VND</x:v>
      </x:c>
      <x:c r="M67" s="20" t="str">
        <x:v>1. Chuẩn bị dữ liệu: Có HR Manager, Admin, nhân viên mẫu, phòng ban/chức danh test.
2. Đăng nhập bằng tài khoản vai trò 'Trưởng phòng Nhân sự' được phép thao tác.
3. Mở chức năng 'khai báo khung năng lực cho từng chức danh' trên môi trường staging.
4. Liên kết cùng một khung năng lực với hai chức danh
5. sửa chú giải
6. mở cả hai chức danh.
7. Ghi kết quả thực tế và đối chiếu tiêu chí S2-06-AC03.</x:v>
      </x:c>
      <x:c r="N67" s="20" t="str">
        <x:v>Khung năng lực dùng lại được cho nhiều chức danh</x:v>
      </x:c>
      <x:c r="O67" s="20" t="str"/>
      <x:c r="P67" s="20" t="str">
        <x:v>Chưa chạy</x:v>
      </x:c>
      <x:c r="Q67" s="20" t="str"/>
      <x:c r="R67" s="20" t="str"/>
      <x:c r="S67" s="26" t="str"/>
      <x:c r="T67" s="20" t="str">
        <x:v>Ưu tiên tự động hóa</x:v>
      </x:c>
      <x:c r="U67" s="20" t="str">
        <x:v>Nguồn: 4. Product Backlog!F24, tiêu chí 3</x:v>
      </x:c>
      <x:c r="V67" s="20" t="str">
        <x:v>S2-06</x:v>
      </x:c>
      <x:c r="W67" s="20" t="str">
        <x:v>Backlog / AC</x:v>
      </x:c>
    </x:row>
    <x:row r="68" ht="92" customHeight="1">
      <x:c r="A68" s="20" t="str">
        <x:v>TC-S2-06-04</x:v>
      </x:c>
      <x:c r="B68" s="20" t="n">
        <x:v>2</x:v>
      </x:c>
      <x:c r="C68" s="20" t="str">
        <x:v>EP-02</x:v>
      </x:c>
      <x:c r="D68" s="20" t="str">
        <x:v>S2-06</x:v>
      </x:c>
      <x:c r="E68" s="20" t="str">
        <x:v>S2-06-AC04</x:v>
      </x:c>
      <x:c r="F68" s="20" t="str">
        <x:v>Danh mục tổ chức</x:v>
      </x:c>
      <x:c r="G68" s="20" t="str">
        <x:v>Đây chính là bộ tiêu chí sinh ra phiếu đánh giá phỏng vấn ở Sprint 6</x:v>
      </x:c>
      <x:c r="H68" s="20" t="str">
        <x:v>Functional</x:v>
      </x:c>
      <x:c r="I68" s="20" t="str">
        <x:v>High</x:v>
      </x:c>
      <x:c r="J68" s="20" t="str">
        <x:v>Trưởng phòng Nhân sự</x:v>
      </x:c>
      <x:c r="K68" s="20" t="str">
        <x:v>Có HR Manager, Admin, nhân viên mẫu, phòng ban/chức danh test.</x:v>
      </x:c>
      <x:c r="L68" s="20" t="str">
        <x:v>Phòng Công nghệ; chức danh Backend Developer; dải lương 15–25 triệu VND</x:v>
      </x:c>
      <x:c r="M68" s="20" t="str">
        <x:v>1. Chuẩn bị dữ liệu: Có HR Manager, Admin, nhân viên mẫu, phòng ban/chức danh test.
2. Đăng nhập bằng tài khoản vai trò 'Trưởng phòng Nhân sự' được phép thao tác.
3. Mở chức năng 'khai báo khung năng lực cho từng chức danh' trên môi trường staging.
4. Tạo buổi phỏng vấn cho chức danh đã gắn khung
5. sinh phiếu
6. so sánh mã tiêu chí/trọng số với khung gốc.
7. Ghi kết quả thực tế và đối chiếu tiêu chí S2-06-AC04.</x:v>
      </x:c>
      <x:c r="N68" s="20" t="str">
        <x:v>Đây chính là bộ tiêu chí sinh ra phiếu đánh giá phỏng vấn ở Sprint 6</x:v>
      </x:c>
      <x:c r="O68" s="20" t="str"/>
      <x:c r="P68" s="20" t="str">
        <x:v>Chưa chạy</x:v>
      </x:c>
      <x:c r="Q68" s="20" t="str"/>
      <x:c r="R68" s="20" t="str"/>
      <x:c r="S68" s="26" t="str"/>
      <x:c r="T68" s="20" t="str">
        <x:v>Ưu tiên tự động hóa</x:v>
      </x:c>
      <x:c r="U68" s="20" t="str">
        <x:v>Nguồn: 4. Product Backlog!F24, tiêu chí 4</x:v>
      </x:c>
      <x:c r="V68" s="20" t="str">
        <x:v>S2-06</x:v>
      </x:c>
      <x:c r="W68" s="20" t="str">
        <x:v>Backlog / AC</x:v>
      </x:c>
    </x:row>
    <x:row r="69" ht="92" customHeight="1">
      <x:c r="A69" s="20" t="str">
        <x:v>TC-S2-06-X01</x:v>
      </x:c>
      <x:c r="B69" s="20" t="n">
        <x:v>2</x:v>
      </x:c>
      <x:c r="C69" s="20" t="str">
        <x:v>EP-02</x:v>
      </x:c>
      <x:c r="D69" s="20" t="str">
        <x:v>S2-06</x:v>
      </x:c>
      <x:c r="E69" s="20" t="str">
        <x:v>QA-EXTRA</x:v>
      </x:c>
      <x:c r="F69" s="20" t="str">
        <x:v>Danh mục tổ chức</x:v>
      </x:c>
      <x:c r="G69" s="20" t="str">
        <x:v>Khung năng lực có tổng trọng số 99%</x:v>
      </x:c>
      <x:c r="H69" s="20" t="str">
        <x:v>Boundary</x:v>
      </x:c>
      <x:c r="I69" s="20" t="str">
        <x:v>High</x:v>
      </x:c>
      <x:c r="J69" s="20" t="str">
        <x:v>Trưởng phòng Nhân sự</x:v>
      </x:c>
      <x:c r="K69" s="20" t="str">
        <x:v>Có HR Manager, Admin, nhân viên mẫu, phòng ban/chức danh test.</x:v>
      </x:c>
      <x:c r="L69" s="20" t="str">
        <x:v>Ba tiêu chí 33% + 33% + 33%</x:v>
      </x:c>
      <x:c r="M69" s="20" t="str">
        <x:v>1. Tạo khung năng lực
2. Nhập tổng 99%
3. Lưu
4. Chỉnh thành 100% và lưu</x:v>
      </x:c>
      <x:c r="N69" s="20" t="str">
        <x:v>99% bị chặn; 100% được phép lưu</x:v>
      </x:c>
      <x:c r="O69" s="20" t="str"/>
      <x:c r="P69" s="20" t="str">
        <x:v>Chưa chạy</x:v>
      </x:c>
      <x:c r="Q69" s="20" t="str"/>
      <x:c r="R69" s="20" t="str"/>
      <x:c r="S69" s="26" t="str"/>
      <x:c r="T69" s="20" t="str">
        <x:v>Ưu tiên tự động hóa</x:v>
      </x:c>
      <x:c r="U69" s="20" t="str">
        <x:v>Kịch bản rủi ro/biên; nếu vượt yêu cầu backlog, xác nhận PO.</x:v>
      </x:c>
      <x:c r="V69" s="20" t="str">
        <x:v>S2-06</x:v>
      </x:c>
      <x:c r="W69" s="20" t="str">
        <x:v>Bổ sung QA</x:v>
      </x:c>
    </x:row>
    <x:row r="70" ht="92" customHeight="1">
      <x:c r="A70" s="20" t="str">
        <x:v>TC-S2-07-01</x:v>
      </x:c>
      <x:c r="B70" s="20" t="n">
        <x:v>2</x:v>
      </x:c>
      <x:c r="C70" s="20" t="str">
        <x:v>EP-02</x:v>
      </x:c>
      <x:c r="D70" s="20" t="str">
        <x:v>S2-07</x:v>
      </x:c>
      <x:c r="E70" s="20" t="str">
        <x:v>S2-07-AC01</x:v>
      </x:c>
      <x:c r="F70" s="20" t="str">
        <x:v>Danh mục tổ chức</x:v>
      </x:c>
      <x:c r="G70" s="20" t="str">
        <x:v>Mỗi câu hỏi gắn với một tiêu chí trong khung năng lực</x:v>
      </x:c>
      <x:c r="H70" s="20" t="str">
        <x:v>Functional</x:v>
      </x:c>
      <x:c r="I70" s="20" t="str">
        <x:v>Medium</x:v>
      </x:c>
      <x:c r="J70" s="20" t="str">
        <x:v>Trưởng phòng Nhân sự</x:v>
      </x:c>
      <x:c r="K70" s="20" t="str">
        <x:v>Có HR Manager, Admin, nhân viên mẫu, phòng ban/chức danh test.</x:v>
      </x:c>
      <x:c r="L70" s="20" t="str">
        <x:v>Phòng Công nghệ; chức danh Backend Developer; dải lương 15–25 triệu VND</x:v>
      </x:c>
      <x:c r="M70" s="20" t="str">
        <x:v>1. Chuẩn bị dữ liệu: Có HR Manager, Admin, nhân viên mẫu, phòng ban/chức danh test.
2. Đăng nhập bằng tài khoản vai trò 'Trưởng phòng Nhân sự' được phép thao tác.
3. Mở chức năng 'quản lý ngân hàng câu hỏi phỏng vấn theo khung năng lực' trên môi trường staging.
4. Tạo tiêu chí K1
5. thêm câu hỏi Q1 gắn K1
6. lưu
7. tìm Q1 theo K1.
8. Ghi kết quả thực tế và đối chiếu tiêu chí S2-07-AC01.</x:v>
      </x:c>
      <x:c r="N70" s="20" t="str">
        <x:v>Mỗi câu hỏi gắn với một tiêu chí trong khung năng lực</x:v>
      </x:c>
      <x:c r="O70" s="20" t="str"/>
      <x:c r="P70" s="20" t="str">
        <x:v>Chưa chạy</x:v>
      </x:c>
      <x:c r="Q70" s="20" t="str"/>
      <x:c r="R70" s="20" t="str"/>
      <x:c r="S70" s="26" t="str"/>
      <x:c r="T70" s="20" t="str">
        <x:v>Cân nhắc</x:v>
      </x:c>
      <x:c r="U70" s="20" t="str">
        <x:v>Nguồn: 4. Product Backlog!F25, tiêu chí 1</x:v>
      </x:c>
      <x:c r="V70" s="20" t="str">
        <x:v>S2-07</x:v>
      </x:c>
      <x:c r="W70" s="20" t="str">
        <x:v>Backlog / AC</x:v>
      </x:c>
    </x:row>
    <x:row r="71" ht="92" customHeight="1">
      <x:c r="A71" s="20" t="str">
        <x:v>TC-S2-07-02</x:v>
      </x:c>
      <x:c r="B71" s="20" t="n">
        <x:v>2</x:v>
      </x:c>
      <x:c r="C71" s="20" t="str">
        <x:v>EP-02</x:v>
      </x:c>
      <x:c r="D71" s="20" t="str">
        <x:v>S2-07</x:v>
      </x:c>
      <x:c r="E71" s="20" t="str">
        <x:v>S2-07-AC02</x:v>
      </x:c>
      <x:c r="F71" s="20" t="str">
        <x:v>Danh mục tổ chức</x:v>
      </x:c>
      <x:c r="G71" s="20" t="str">
        <x:v>Câu hỏi có mức độ khó và gợi ý câu trả lời tốt</x:v>
      </x:c>
      <x:c r="H71" s="20" t="str">
        <x:v>Functional</x:v>
      </x:c>
      <x:c r="I71" s="20" t="str">
        <x:v>Medium</x:v>
      </x:c>
      <x:c r="J71" s="20" t="str">
        <x:v>Trưởng phòng Nhân sự</x:v>
      </x:c>
      <x:c r="K71" s="20" t="str">
        <x:v>Có HR Manager, Admin, nhân viên mẫu, phòng ban/chức danh test.</x:v>
      </x:c>
      <x:c r="L71" s="20" t="str">
        <x:v>Phòng Công nghệ; chức danh Backend Developer; dải lương 15–25 triệu VND</x:v>
      </x:c>
      <x:c r="M71" s="20" t="str">
        <x:v>1. Chuẩn bị dữ liệu: Có HR Manager, Admin, nhân viên mẫu, phòng ban/chức danh test.
2. Đăng nhập bằng tài khoản vai trò 'Trưởng phòng Nhân sự' được phép thao tác.
3. Mở chức năng 'quản lý ngân hàng câu hỏi phỏng vấn theo khung năng lực' trên môi trường staging.
4. Tạo câu hỏi ở hai mức khó với đáp án gợi ý
5. lưu và mở lại chi tiết.
6. Ghi kết quả thực tế và đối chiếu tiêu chí S2-07-AC02.</x:v>
      </x:c>
      <x:c r="N71" s="20" t="str">
        <x:v>Câu hỏi có mức độ khó và gợi ý câu trả lời tốt</x:v>
      </x:c>
      <x:c r="O71" s="20" t="str"/>
      <x:c r="P71" s="20" t="str">
        <x:v>Chưa chạy</x:v>
      </x:c>
      <x:c r="Q71" s="20" t="str"/>
      <x:c r="R71" s="20" t="str"/>
      <x:c r="S71" s="26" t="str"/>
      <x:c r="T71" s="20" t="str">
        <x:v>Cân nhắc</x:v>
      </x:c>
      <x:c r="U71" s="20" t="str">
        <x:v>Nguồn: 4. Product Backlog!F25, tiêu chí 2</x:v>
      </x:c>
      <x:c r="V71" s="20" t="str">
        <x:v>S2-07</x:v>
      </x:c>
      <x:c r="W71" s="20" t="str">
        <x:v>Backlog / AC</x:v>
      </x:c>
    </x:row>
    <x:row r="72" ht="92" customHeight="1">
      <x:c r="A72" s="20" t="str">
        <x:v>TC-S2-07-03</x:v>
      </x:c>
      <x:c r="B72" s="20" t="n">
        <x:v>2</x:v>
      </x:c>
      <x:c r="C72" s="20" t="str">
        <x:v>EP-02</x:v>
      </x:c>
      <x:c r="D72" s="20" t="str">
        <x:v>S2-07</x:v>
      </x:c>
      <x:c r="E72" s="20" t="str">
        <x:v>S2-07-AC03</x:v>
      </x:c>
      <x:c r="F72" s="20" t="str">
        <x:v>Danh mục tổ chức</x:v>
      </x:c>
      <x:c r="G72" s="20" t="str">
        <x:v>Tìm kiếm và lọc câu hỏi theo chức danh và tiêu chí</x:v>
      </x:c>
      <x:c r="H72" s="20" t="str">
        <x:v>Functional</x:v>
      </x:c>
      <x:c r="I72" s="20" t="str">
        <x:v>Medium</x:v>
      </x:c>
      <x:c r="J72" s="20" t="str">
        <x:v>Trưởng phòng Nhân sự</x:v>
      </x:c>
      <x:c r="K72" s="20" t="str">
        <x:v>Có HR Manager, Admin, nhân viên mẫu, phòng ban/chức danh test.</x:v>
      </x:c>
      <x:c r="L72" s="20" t="str">
        <x:v>Phòng Công nghệ; chức danh Backend Developer; dải lương 15–25 triệu VND</x:v>
      </x:c>
      <x:c r="M72" s="20" t="str">
        <x:v>1. Chuẩn bị dữ liệu: Có HR Manager, Admin, nhân viên mẫu, phòng ban/chức danh test.
2. Đăng nhập bằng tài khoản vai trò 'Trưởng phòng Nhân sự' được phép thao tác.
3. Mở chức năng 'quản lý ngân hàng câu hỏi phỏng vấn theo khung năng lực' trên môi trường staging.
4. Tạo dữ liệu đối chứng thuộc và không thuộc điều kiện; áp dụng bộ lọc/tìm kiếm/sắp xếp tương ứng.
5. Đối chiếu danh sách/kết quả tổng hợp với dữ liệu gốc.</x:v>
      </x:c>
      <x:c r="N72" s="20" t="str">
        <x:v>Tìm kiếm và lọc câu hỏi theo chức danh và tiêu chí</x:v>
      </x:c>
      <x:c r="O72" s="20" t="str"/>
      <x:c r="P72" s="20" t="str">
        <x:v>Chưa chạy</x:v>
      </x:c>
      <x:c r="Q72" s="20" t="str"/>
      <x:c r="R72" s="20" t="str"/>
      <x:c r="S72" s="26" t="str"/>
      <x:c r="T72" s="20" t="str">
        <x:v>Cân nhắc</x:v>
      </x:c>
      <x:c r="U72" s="20" t="str">
        <x:v>Nguồn: 4. Product Backlog!F25, tiêu chí 3</x:v>
      </x:c>
      <x:c r="V72" s="20" t="str">
        <x:v>S2-07</x:v>
      </x:c>
      <x:c r="W72" s="20" t="str">
        <x:v>Backlog / AC</x:v>
      </x:c>
    </x:row>
    <x:row r="73" ht="92" customHeight="1">
      <x:c r="A73" s="20" t="str">
        <x:v>TC-S2-07-X01</x:v>
      </x:c>
      <x:c r="B73" s="20" t="n">
        <x:v>2</x:v>
      </x:c>
      <x:c r="C73" s="20" t="str">
        <x:v>EP-02</x:v>
      </x:c>
      <x:c r="D73" s="20" t="str">
        <x:v>S2-07</x:v>
      </x:c>
      <x:c r="E73" s="20" t="str">
        <x:v>QA-EXTRA</x:v>
      </x:c>
      <x:c r="F73" s="20" t="str">
        <x:v>Danh mục tổ chức</x:v>
      </x:c>
      <x:c r="G73" s="20" t="str">
        <x:v>Không nhận câu hỏi tham chiếu tiêu chí đã ngừng áp dụng</x:v>
      </x:c>
      <x:c r="H73" s="20" t="str">
        <x:v>Negative</x:v>
      </x:c>
      <x:c r="I73" s="20" t="str">
        <x:v>Medium</x:v>
      </x:c>
      <x:c r="J73" s="20" t="str">
        <x:v>Trưởng phòng Nhân sự</x:v>
      </x:c>
      <x:c r="K73" s="20" t="str">
        <x:v>Có HR Manager, Admin, nhân viên mẫu, phòng ban/chức danh test.</x:v>
      </x:c>
      <x:c r="L73" s="20" t="str">
        <x:v>Tiêu chí X ngừng áp dụng</x:v>
      </x:c>
      <x:c r="M73" s="20" t="str">
        <x:v>1. Tạo câu hỏi tham chiếu X
2. Ngừng áp dụng X
3. Thử tạo câu hỏi mới gắn X</x:v>
      </x:c>
      <x:c r="N73" s="20" t="str">
        <x:v>Không tạo tham chiếu không hợp lệ; câu hỏi lịch sử còn xem được nếu nghiệp vụ yêu cầu</x:v>
      </x:c>
      <x:c r="O73" s="20" t="str"/>
      <x:c r="P73" s="20" t="str">
        <x:v>Chưa chạy</x:v>
      </x:c>
      <x:c r="Q73" s="20" t="str"/>
      <x:c r="R73" s="20" t="str"/>
      <x:c r="S73" s="26" t="str"/>
      <x:c r="T73" s="20" t="str">
        <x:v>Cân nhắc</x:v>
      </x:c>
      <x:c r="U73" s="20" t="str">
        <x:v>Kịch bản rủi ro/biên; nếu vượt yêu cầu backlog, xác nhận PO.</x:v>
      </x:c>
      <x:c r="V73" s="20" t="str">
        <x:v>S2-07</x:v>
      </x:c>
      <x:c r="W73" s="20" t="str">
        <x:v>Bổ sung QA</x:v>
      </x:c>
    </x:row>
    <x:row r="74" ht="92" customHeight="1">
      <x:c r="A74" s="20" t="str">
        <x:v>TC-S2-08-01</x:v>
      </x:c>
      <x:c r="B74" s="20" t="n">
        <x:v>2</x:v>
      </x:c>
      <x:c r="C74" s="20" t="str">
        <x:v>EP-02</x:v>
      </x:c>
      <x:c r="D74" s="20" t="str">
        <x:v>S2-08</x:v>
      </x:c>
      <x:c r="E74" s="20" t="str">
        <x:v>S2-08-AC01</x:v>
      </x:c>
      <x:c r="F74" s="20" t="str">
        <x:v>Danh mục tổ chức</x:v>
      </x:c>
      <x:c r="G74" s="20" t="str">
        <x:v>Nguồn ứng viên, lý do loại hồ sơ, địa điểm làm việc, hình thức làm việc</x:v>
      </x:c>
      <x:c r="H74" s="20" t="str">
        <x:v>Functional</x:v>
      </x:c>
      <x:c r="I74" s="20" t="str">
        <x:v>High</x:v>
      </x:c>
      <x:c r="J74" s="20" t="str">
        <x:v>Trưởng phòng Nhân sự</x:v>
      </x:c>
      <x:c r="K74" s="20" t="str">
        <x:v>Có HR Manager, Admin, nhân viên mẫu, phòng ban/chức danh test.</x:v>
      </x:c>
      <x:c r="L74" s="20" t="str">
        <x:v>Phòng Công nghệ; chức danh Backend Developer; dải lương 15–25 triệu VND</x:v>
      </x:c>
      <x:c r="M74" s="20" t="str">
        <x:v>1. Chuẩn bị dữ liệu: Có HR Manager, Admin, nhân viên mẫu, phòng ban/chức danh test.
2. Đăng nhập bằng tài khoản vai trò 'Trưởng phòng Nhân sự' được phép thao tác.
3. Mở chức năng 'khai báo các danh mục dùng chung của tuyển dụng' trên môi trường staging.
4. Tạo mỗi loại danh mục ít nhất 2 giá trị
5. mở form hồ sơ, REQ, job
6. kiểm tra dropdown lấy đúng danh mục.
7. Ghi kết quả thực tế và đối chiếu tiêu chí S2-08-AC01.</x:v>
      </x:c>
      <x:c r="N74" s="20" t="str">
        <x:v>Nguồn ứng viên, lý do loại hồ sơ, địa điểm làm việc, hình thức làm việc</x:v>
      </x:c>
      <x:c r="O74" s="20" t="str"/>
      <x:c r="P74" s="20" t="str">
        <x:v>Chưa chạy</x:v>
      </x:c>
      <x:c r="Q74" s="20" t="str"/>
      <x:c r="R74" s="20" t="str"/>
      <x:c r="S74" s="26" t="str"/>
      <x:c r="T74" s="20" t="str">
        <x:v>Ưu tiên tự động hóa</x:v>
      </x:c>
      <x:c r="U74" s="20" t="str">
        <x:v>Nguồn: 4. Product Backlog!F26, tiêu chí 1</x:v>
      </x:c>
      <x:c r="V74" s="20" t="str">
        <x:v>S2-08</x:v>
      </x:c>
      <x:c r="W74" s="20" t="str">
        <x:v>Backlog / AC</x:v>
      </x:c>
    </x:row>
    <x:row r="75" ht="92" customHeight="1">
      <x:c r="A75" s="20" t="str">
        <x:v>TC-S2-08-02</x:v>
      </x:c>
      <x:c r="B75" s="20" t="n">
        <x:v>2</x:v>
      </x:c>
      <x:c r="C75" s="20" t="str">
        <x:v>EP-02</x:v>
      </x:c>
      <x:c r="D75" s="20" t="str">
        <x:v>S2-08</x:v>
      </x:c>
      <x:c r="E75" s="20" t="str">
        <x:v>S2-08-AC02</x:v>
      </x:c>
      <x:c r="F75" s="20" t="str">
        <x:v>Danh mục tổ chức</x:v>
      </x:c>
      <x:c r="G75" s="20" t="str">
        <x:v>Giá trị đang được tham chiếu thì không xoá được</x:v>
      </x:c>
      <x:c r="H75" s="20" t="str">
        <x:v>Functional</x:v>
      </x:c>
      <x:c r="I75" s="20" t="str">
        <x:v>High</x:v>
      </x:c>
      <x:c r="J75" s="20" t="str">
        <x:v>Trưởng phòng Nhân sự</x:v>
      </x:c>
      <x:c r="K75" s="20" t="str">
        <x:v>Có HR Manager, Admin, nhân viên mẫu, phòng ban/chức danh test.</x:v>
      </x:c>
      <x:c r="L75" s="20" t="str">
        <x:v>Phòng Công nghệ; chức danh Backend Developer; dải lương 15–25 triệu VND</x:v>
      </x:c>
      <x:c r="M75" s="20" t="str">
        <x:v>1. Chuẩn bị dữ liệu: Có HR Manager, Admin, nhân viên mẫu, phòng ban/chức danh test.
2. Đăng nhập bằng tài khoản vai trò 'Trưởng phòng Nhân sự' được phép thao tác.
3. Mở chức năng 'khai báo các danh mục dùng chung của tuyển dụng' trên môi trường staging.
4. Gắn nguồn Referral cho ứng viên
5. thử xoá nguồn
6. kiểm tra hồ sơ và danh mục sau thao tác.
7. Ghi kết quả thực tế và đối chiếu tiêu chí S2-08-AC02.</x:v>
      </x:c>
      <x:c r="N75" s="20" t="str">
        <x:v>Giá trị đang được tham chiếu thì không xoá được</x:v>
      </x:c>
      <x:c r="O75" s="20" t="str"/>
      <x:c r="P75" s="20" t="str">
        <x:v>Chưa chạy</x:v>
      </x:c>
      <x:c r="Q75" s="20" t="str"/>
      <x:c r="R75" s="20" t="str"/>
      <x:c r="S75" s="26" t="str"/>
      <x:c r="T75" s="20" t="str">
        <x:v>Ưu tiên tự động hóa</x:v>
      </x:c>
      <x:c r="U75" s="20" t="str">
        <x:v>Nguồn: 4. Product Backlog!F26, tiêu chí 2</x:v>
      </x:c>
      <x:c r="V75" s="20" t="str">
        <x:v>S2-08</x:v>
      </x:c>
      <x:c r="W75" s="20" t="str">
        <x:v>Backlog / AC</x:v>
      </x:c>
    </x:row>
    <x:row r="76" ht="92" customHeight="1">
      <x:c r="A76" s="20" t="str">
        <x:v>TC-S2-08-03</x:v>
      </x:c>
      <x:c r="B76" s="20" t="n">
        <x:v>2</x:v>
      </x:c>
      <x:c r="C76" s="20" t="str">
        <x:v>EP-02</x:v>
      </x:c>
      <x:c r="D76" s="20" t="str">
        <x:v>S2-08</x:v>
      </x:c>
      <x:c r="E76" s="20" t="str">
        <x:v>S2-08-AC03</x:v>
      </x:c>
      <x:c r="F76" s="20" t="str">
        <x:v>Danh mục tổ chức</x:v>
      </x:c>
      <x:c r="G76" s="20" t="str">
        <x:v>Sắp xếp được thứ tự hiển thị</x:v>
      </x:c>
      <x:c r="H76" s="20" t="str">
        <x:v>Functional</x:v>
      </x:c>
      <x:c r="I76" s="20" t="str">
        <x:v>High</x:v>
      </x:c>
      <x:c r="J76" s="20" t="str">
        <x:v>Trưởng phòng Nhân sự</x:v>
      </x:c>
      <x:c r="K76" s="20" t="str">
        <x:v>Có HR Manager, Admin, nhân viên mẫu, phòng ban/chức danh test.</x:v>
      </x:c>
      <x:c r="L76" s="20" t="str">
        <x:v>Phòng Công nghệ; chức danh Backend Developer; dải lương 15–25 triệu VND</x:v>
      </x:c>
      <x:c r="M76" s="20" t="str">
        <x:v>1. Chuẩn bị dữ liệu: Có HR Manager, Admin, nhân viên mẫu, phòng ban/chức danh test.
2. Đăng nhập bằng tài khoản vai trò 'Trưởng phòng Nhân sự' được phép thao tác.
3. Mở chức năng 'khai báo các danh mục dùng chung của tuyển dụng' trên môi trường staging.
4. Tạo dữ liệu đối chứng thuộc và không thuộc điều kiện; áp dụng bộ lọc/tìm kiếm/sắp xếp tương ứng.
5. Đối chiếu danh sách/kết quả tổng hợp với dữ liệu gốc.</x:v>
      </x:c>
      <x:c r="N76" s="20" t="str">
        <x:v>Sắp xếp được thứ tự hiển thị</x:v>
      </x:c>
      <x:c r="O76" s="20" t="str"/>
      <x:c r="P76" s="20" t="str">
        <x:v>Chưa chạy</x:v>
      </x:c>
      <x:c r="Q76" s="20" t="str"/>
      <x:c r="R76" s="20" t="str"/>
      <x:c r="S76" s="26" t="str"/>
      <x:c r="T76" s="20" t="str">
        <x:v>Ưu tiên tự động hóa</x:v>
      </x:c>
      <x:c r="U76" s="20" t="str">
        <x:v>Nguồn: 4. Product Backlog!F26, tiêu chí 3</x:v>
      </x:c>
      <x:c r="V76" s="20" t="str">
        <x:v>S2-08</x:v>
      </x:c>
      <x:c r="W76" s="20" t="str">
        <x:v>Backlog / AC</x:v>
      </x:c>
    </x:row>
    <x:row r="77" ht="92" customHeight="1">
      <x:c r="A77" s="20" t="str">
        <x:v>TC-S2-08-X01</x:v>
      </x:c>
      <x:c r="B77" s="20" t="n">
        <x:v>2</x:v>
      </x:c>
      <x:c r="C77" s="20" t="str">
        <x:v>EP-02</x:v>
      </x:c>
      <x:c r="D77" s="20" t="str">
        <x:v>S2-08</x:v>
      </x:c>
      <x:c r="E77" s="20" t="str">
        <x:v>QA-EXTRA</x:v>
      </x:c>
      <x:c r="F77" s="20" t="str">
        <x:v>Danh mục tổ chức</x:v>
      </x:c>
      <x:c r="G77" s="20" t="str">
        <x:v>Không xoá nguồn ứng viên đã phát sinh hồ sơ</x:v>
      </x:c>
      <x:c r="H77" s="20" t="str">
        <x:v>Negative</x:v>
      </x:c>
      <x:c r="I77" s="20" t="str">
        <x:v>High</x:v>
      </x:c>
      <x:c r="J77" s="20" t="str">
        <x:v>Trưởng phòng Nhân sự</x:v>
      </x:c>
      <x:c r="K77" s="20" t="str">
        <x:v>Có HR Manager, Admin, nhân viên mẫu, phòng ban/chức danh test.</x:v>
      </x:c>
      <x:c r="L77" s="20" t="str">
        <x:v>Nguồn referral đã có 1 ứng viên</x:v>
      </x:c>
      <x:c r="M77" s="20" t="str">
        <x:v>1. Tạo nguồn
2. Gắn với hồ sơ
3. Xóa nguồn</x:v>
      </x:c>
      <x:c r="N77" s="20" t="str">
        <x:v>Xoá bị chặn; bản ghi tham chiếu và tên nguồn trên hồ sơ còn nguyên</x:v>
      </x:c>
      <x:c r="O77" s="20" t="str"/>
      <x:c r="P77" s="20" t="str">
        <x:v>Chưa chạy</x:v>
      </x:c>
      <x:c r="Q77" s="20" t="str"/>
      <x:c r="R77" s="20" t="str"/>
      <x:c r="S77" s="26" t="str"/>
      <x:c r="T77" s="20" t="str">
        <x:v>Ưu tiên tự động hóa</x:v>
      </x:c>
      <x:c r="U77" s="20" t="str">
        <x:v>Kịch bản rủi ro/biên; nếu vượt yêu cầu backlog, xác nhận PO.</x:v>
      </x:c>
      <x:c r="V77" s="20" t="str">
        <x:v>S2-08</x:v>
      </x:c>
      <x:c r="W77" s="20" t="str">
        <x:v>Bổ sung QA</x:v>
      </x:c>
    </x:row>
    <x:row r="78" ht="92" customHeight="1">
      <x:c r="A78" s="20" t="str">
        <x:v>TC-S2-09-01</x:v>
      </x:c>
      <x:c r="B78" s="20" t="n">
        <x:v>2</x:v>
      </x:c>
      <x:c r="C78" s="20" t="str">
        <x:v>EP-04</x:v>
      </x:c>
      <x:c r="D78" s="20" t="str">
        <x:v>S2-09</x:v>
      </x:c>
      <x:c r="E78" s="20" t="str">
        <x:v>S2-09-AC01</x:v>
      </x:c>
      <x:c r="F78" s="20" t="str">
        <x:v>Đăng tin &amp; Ứng tuyển</x:v>
      </x:c>
      <x:c r="G78" s="20" t="str">
        <x:v>Soạn nội dung giới thiệu, tải ảnh và logo</x:v>
      </x:c>
      <x:c r="H78" s="20" t="str">
        <x:v>Functional</x:v>
      </x:c>
      <x:c r="I78" s="20" t="str">
        <x:v>Low</x:v>
      </x:c>
      <x:c r="J78" s="20" t="str">
        <x:v>Trưởng phòng Nhân sự</x:v>
      </x:c>
      <x:c r="K78" s="20" t="str">
        <x:v>Có HR Manager, Admin, nhân viên mẫu, phòng ban/chức danh test.</x:v>
      </x:c>
      <x:c r="L78" s="20" t="str">
        <x:v>Phòng Công nghệ; chức danh Backend Developer; dải lương 15–25 triệu VND</x:v>
      </x:c>
      <x:c r="M78" s="20" t="str">
        <x:v>1. Chuẩn bị dữ liệu: Có HR Manager, Admin, nhân viên mẫu, phòng ban/chức danh test.
2. Đăng nhập bằng tài khoản vai trò 'Trưởng phòng Nhân sự' được phép thao tác.
3. Mở chức năng 'cấu hình trang giới thiệu công ty trên cổng tuyển dụng' trên môi trường staging.
4. Mở trình biên tập trang công ty
5. soạn nội dung và tải logo/ảnh đúng định dạng
6. lưu rồi mở bản nháp.
7. Ghi kết quả thực tế và đối chiếu tiêu chí S2-09-AC01.</x:v>
      </x:c>
      <x:c r="N78" s="20" t="str">
        <x:v>Soạn nội dung giới thiệu, tải ảnh và logo</x:v>
      </x:c>
      <x:c r="O78" s="20" t="str"/>
      <x:c r="P78" s="20" t="str">
        <x:v>Chưa chạy</x:v>
      </x:c>
      <x:c r="Q78" s="20" t="str"/>
      <x:c r="R78" s="20" t="str"/>
      <x:c r="S78" s="26" t="str"/>
      <x:c r="T78" s="20" t="str">
        <x:v>Cân nhắc</x:v>
      </x:c>
      <x:c r="U78" s="20" t="str">
        <x:v>Nguồn: 4. Product Backlog!F27, tiêu chí 1</x:v>
      </x:c>
      <x:c r="V78" s="20" t="str">
        <x:v>S2-09</x:v>
      </x:c>
      <x:c r="W78" s="20" t="str">
        <x:v>Backlog / AC</x:v>
      </x:c>
    </x:row>
    <x:row r="79" ht="92" customHeight="1">
      <x:c r="A79" s="20" t="str">
        <x:v>TC-S2-09-02</x:v>
      </x:c>
      <x:c r="B79" s="20" t="n">
        <x:v>2</x:v>
      </x:c>
      <x:c r="C79" s="20" t="str">
        <x:v>EP-04</x:v>
      </x:c>
      <x:c r="D79" s="20" t="str">
        <x:v>S2-09</x:v>
      </x:c>
      <x:c r="E79" s="20" t="str">
        <x:v>S2-09-AC02</x:v>
      </x:c>
      <x:c r="F79" s="20" t="str">
        <x:v>Đăng tin &amp; Ứng tuyển</x:v>
      </x:c>
      <x:c r="G79" s="20" t="str">
        <x:v>Xem trước đúng như giao diện công khai trước khi lưu</x:v>
      </x:c>
      <x:c r="H79" s="20" t="str">
        <x:v>Functional</x:v>
      </x:c>
      <x:c r="I79" s="20" t="str">
        <x:v>Low</x:v>
      </x:c>
      <x:c r="J79" s="20" t="str">
        <x:v>Trưởng phòng Nhân sự</x:v>
      </x:c>
      <x:c r="K79" s="20" t="str">
        <x:v>Có HR Manager, Admin, nhân viên mẫu, phòng ban/chức danh test.</x:v>
      </x:c>
      <x:c r="L79" s="20" t="str">
        <x:v>Phòng Công nghệ; chức danh Backend Developer; dải lương 15–25 triệu VND</x:v>
      </x:c>
      <x:c r="M79" s="20" t="str">
        <x:v>1. Chuẩn bị dữ liệu: Có HR Manager, Admin, nhân viên mẫu, phòng ban/chức danh test.
2. Đăng nhập bằng tài khoản vai trò 'Trưởng phòng Nhân sự' được phép thao tác.
3. Mở chức năng 'cấu hình trang giới thiệu công ty trên cổng tuyển dụng' trên môi trường staging.
4. Thay đổi logo và đoạn giới thiệu
5. bấm Xem trước
6. mở trang public so sánh bố cục.
7. Ghi kết quả thực tế và đối chiếu tiêu chí S2-09-AC02.</x:v>
      </x:c>
      <x:c r="N79" s="20" t="str">
        <x:v>Xem trước đúng như giao diện công khai trước khi lưu</x:v>
      </x:c>
      <x:c r="O79" s="20" t="str"/>
      <x:c r="P79" s="20" t="str">
        <x:v>Chưa chạy</x:v>
      </x:c>
      <x:c r="Q79" s="20" t="str"/>
      <x:c r="R79" s="20" t="str"/>
      <x:c r="S79" s="26" t="str"/>
      <x:c r="T79" s="20" t="str">
        <x:v>Cân nhắc</x:v>
      </x:c>
      <x:c r="U79" s="20" t="str">
        <x:v>Nguồn: 4. Product Backlog!F27, tiêu chí 2</x:v>
      </x:c>
      <x:c r="V79" s="20" t="str">
        <x:v>S2-09</x:v>
      </x:c>
      <x:c r="W79" s="20" t="str">
        <x:v>Backlog / AC</x:v>
      </x:c>
    </x:row>
    <x:row r="80" ht="92" customHeight="1">
      <x:c r="A80" s="20" t="str">
        <x:v>TC-S2-09-X01</x:v>
      </x:c>
      <x:c r="B80" s="20" t="n">
        <x:v>2</x:v>
      </x:c>
      <x:c r="C80" s="20" t="str">
        <x:v>EP-04</x:v>
      </x:c>
      <x:c r="D80" s="20" t="str">
        <x:v>S2-09</x:v>
      </x:c>
      <x:c r="E80" s="20" t="str">
        <x:v>QA-EXTRA</x:v>
      </x:c>
      <x:c r="F80" s="20" t="str">
        <x:v>Đăng tin &amp; Ứng tuyển</x:v>
      </x:c>
      <x:c r="G80" s="20" t="str">
        <x:v>Nội dung trang công ty có HTML nguy hiểm</x:v>
      </x:c>
      <x:c r="H80" s="20" t="str">
        <x:v>Security</x:v>
      </x:c>
      <x:c r="I80" s="20" t="str">
        <x:v>Low</x:v>
      </x:c>
      <x:c r="J80" s="20" t="str">
        <x:v>Trưởng phòng Nhân sự</x:v>
      </x:c>
      <x:c r="K80" s="20" t="str">
        <x:v>Có HR Manager, Admin, nhân viên mẫu, phòng ban/chức danh test.</x:v>
      </x:c>
      <x:c r="L80" s="20" t="str">
        <x:v>Chuỗi vô hại để kiểm thử XSS trong HTML editor</x:v>
      </x:c>
      <x:c r="M80" s="20" t="str">
        <x:v>1. Nhập payload script kiểm thử
2. Lưu
3. Mở trang công khai ở tab sạch</x:v>
      </x:c>
      <x:c r="N80" s="20" t="str">
        <x:v>Nội dung nguy hiểm được loại bỏ/escape; không chạy script ngoài ý muốn</x:v>
      </x:c>
      <x:c r="O80" s="20" t="str"/>
      <x:c r="P80" s="20" t="str">
        <x:v>Chưa chạy</x:v>
      </x:c>
      <x:c r="Q80" s="20" t="str"/>
      <x:c r="R80" s="20" t="str"/>
      <x:c r="S80" s="26" t="str"/>
      <x:c r="T80" s="20" t="str">
        <x:v>Cân nhắc</x:v>
      </x:c>
      <x:c r="U80" s="20" t="str">
        <x:v>Kịch bản rủi ro/biên; nếu vượt yêu cầu backlog, xác nhận PO.</x:v>
      </x:c>
      <x:c r="V80" s="20" t="str">
        <x:v>S2-09</x:v>
      </x:c>
      <x:c r="W80" s="20" t="str">
        <x:v>Bổ sung QA</x:v>
      </x:c>
    </x:row>
    <x:row r="81" ht="92" customHeight="1">
      <x:c r="A81" s="20" t="str">
        <x:v>TC-S2-10-01</x:v>
      </x:c>
      <x:c r="B81" s="20" t="n">
        <x:v>2</x:v>
      </x:c>
      <x:c r="C81" s="20" t="str">
        <x:v>EP-03</x:v>
      </x:c>
      <x:c r="D81" s="20" t="str">
        <x:v>S2-10</x:v>
      </x:c>
      <x:c r="E81" s="20" t="str">
        <x:v>S2-10-AC01</x:v>
      </x:c>
      <x:c r="F81" s="20" t="str">
        <x:v>Yêu cầu &amp; Phê duyệt</x:v>
      </x:c>
      <x:c r="G81" s="20" t="str">
        <x:v>Khai báo chức danh, phòng ban, số lượng, lý do tuyển (thay thế hoặc tăng mới), dải lương đề xuất, ngày cần người</x:v>
      </x:c>
      <x:c r="H81" s="20" t="str">
        <x:v>Functional</x:v>
      </x:c>
      <x:c r="I81" s="20" t="str">
        <x:v>High</x:v>
      </x:c>
      <x:c r="J81" s="20" t="str">
        <x:v>Trưởng bộ phận</x:v>
      </x:c>
      <x:c r="K81" s="20" t="str">
        <x:v>Có HR Manager, Admin, nhân viên mẫu, phòng ban/chức danh test.</x:v>
      </x:c>
      <x:c r="L81" s="20" t="str">
        <x:v>Phòng Công nghệ; chức danh Backend Developer; dải lương 15–25 triệu VND</x:v>
      </x:c>
      <x:c r="M81" s="20" t="str">
        <x:v>1. Chuẩn bị dữ liệu: Có HR Manager, Admin, nhân viên mẫu, phòng ban/chức danh test.
2. Đăng nhập bằng tài khoản vai trò 'Trưởng bộ phận' được phép thao tác.
3. Mở chức năng 'tạo yêu cầu tuyển dụng cho vị trí mình cần người' trên môi trường staging.
4. Tạo REQ với chức danh, phòng ban, số lượng, loại tuyển, lương và ngày cần người
5. lưu và mở lại.
6. Ghi kết quả thực tế và đối chiếu tiêu chí S2-10-AC01.</x:v>
      </x:c>
      <x:c r="N81" s="20" t="str">
        <x:v>Khai báo chức danh, phòng ban, số lượng, lý do tuyển (thay thế hoặc tăng mới), dải lương đề xuất, ngày cần người</x:v>
      </x:c>
      <x:c r="O81" s="20" t="str"/>
      <x:c r="P81" s="20" t="str">
        <x:v>Chưa chạy</x:v>
      </x:c>
      <x:c r="Q81" s="20" t="str"/>
      <x:c r="R81" s="20" t="str"/>
      <x:c r="S81" s="26" t="str"/>
      <x:c r="T81" s="20" t="str">
        <x:v>Ưu tiên tự động hóa</x:v>
      </x:c>
      <x:c r="U81" s="20" t="str">
        <x:v>Nguồn: 4. Product Backlog!F28, tiêu chí 1</x:v>
      </x:c>
      <x:c r="V81" s="20" t="str">
        <x:v>S2-10</x:v>
      </x:c>
      <x:c r="W81" s="20" t="str">
        <x:v>Backlog / AC</x:v>
      </x:c>
    </x:row>
    <x:row r="82" ht="92" customHeight="1">
      <x:c r="A82" s="20" t="str">
        <x:v>TC-S2-10-02</x:v>
      </x:c>
      <x:c r="B82" s="20" t="n">
        <x:v>2</x:v>
      </x:c>
      <x:c r="C82" s="20" t="str">
        <x:v>EP-03</x:v>
      </x:c>
      <x:c r="D82" s="20" t="str">
        <x:v>S2-10</x:v>
      </x:c>
      <x:c r="E82" s="20" t="str">
        <x:v>S2-10-AC02</x:v>
      </x:c>
      <x:c r="F82" s="20" t="str">
        <x:v>Yêu cầu &amp; Phê duyệt</x:v>
      </x:c>
      <x:c r="G82" s="20" t="str">
        <x:v>Soạn mô tả công việc và yêu cầu ứng viên, lưu nháp được</x:v>
      </x:c>
      <x:c r="H82" s="20" t="str">
        <x:v>Functional</x:v>
      </x:c>
      <x:c r="I82" s="20" t="str">
        <x:v>High</x:v>
      </x:c>
      <x:c r="J82" s="20" t="str">
        <x:v>Trưởng bộ phận</x:v>
      </x:c>
      <x:c r="K82" s="20" t="str">
        <x:v>Có HR Manager, Admin, nhân viên mẫu, phòng ban/chức danh test.</x:v>
      </x:c>
      <x:c r="L82" s="20" t="str">
        <x:v>Phòng Công nghệ; chức danh Backend Developer; dải lương 15–25 triệu VND</x:v>
      </x:c>
      <x:c r="M82" s="20" t="str">
        <x:v>1. Chuẩn bị dữ liệu: Có HR Manager, Admin, nhân viên mẫu, phòng ban/chức danh test.
2. Đăng nhập bằng tài khoản vai trò 'Trưởng bộ phận' được phép thao tác.
3. Mở chức năng 'tạo yêu cầu tuyển dụng cho vị trí mình cần người' trên môi trường staging.
4. Nhập JD và yêu cầu ứng viên
5. lưu bản nháp
6. reload
7. xác nhận nội dung không mất trước khi gửi duyệt.
8. Ghi kết quả thực tế và đối chiếu tiêu chí S2-10-AC02.</x:v>
      </x:c>
      <x:c r="N82" s="20" t="str">
        <x:v>Soạn mô tả công việc và yêu cầu ứng viên, lưu nháp được</x:v>
      </x:c>
      <x:c r="O82" s="20" t="str"/>
      <x:c r="P82" s="20" t="str">
        <x:v>Chưa chạy</x:v>
      </x:c>
      <x:c r="Q82" s="20" t="str"/>
      <x:c r="R82" s="20" t="str"/>
      <x:c r="S82" s="26" t="str"/>
      <x:c r="T82" s="20" t="str">
        <x:v>Ưu tiên tự động hóa</x:v>
      </x:c>
      <x:c r="U82" s="20" t="str">
        <x:v>Nguồn: 4. Product Backlog!F28, tiêu chí 2</x:v>
      </x:c>
      <x:c r="V82" s="20" t="str">
        <x:v>S2-10</x:v>
      </x:c>
      <x:c r="W82" s="20" t="str">
        <x:v>Backlog / AC</x:v>
      </x:c>
    </x:row>
    <x:row r="83" ht="92" customHeight="1">
      <x:c r="A83" s="20" t="str">
        <x:v>TC-S2-10-03</x:v>
      </x:c>
      <x:c r="B83" s="20" t="n">
        <x:v>2</x:v>
      </x:c>
      <x:c r="C83" s="20" t="str">
        <x:v>EP-03</x:v>
      </x:c>
      <x:c r="D83" s="20" t="str">
        <x:v>S2-10</x:v>
      </x:c>
      <x:c r="E83" s="20" t="str">
        <x:v>S2-10-AC03</x:v>
      </x:c>
      <x:c r="F83" s="20" t="str">
        <x:v>Yêu cầu &amp; Phê duyệt</x:v>
      </x:c>
      <x:c r="G83" s="20" t="str">
        <x:v>Dải lương đề xuất nằm ngoài dải chuẩn của chức danh thì bắt buộc nhập giải trình</x:v>
      </x:c>
      <x:c r="H83" s="20" t="str">
        <x:v>Functional</x:v>
      </x:c>
      <x:c r="I83" s="20" t="str">
        <x:v>High</x:v>
      </x:c>
      <x:c r="J83" s="20" t="str">
        <x:v>Trưởng bộ phận</x:v>
      </x:c>
      <x:c r="K83" s="20" t="str">
        <x:v>Có HR Manager, Admin, nhân viên mẫu, phòng ban/chức danh test.</x:v>
      </x:c>
      <x:c r="L83" s="20" t="str">
        <x:v>Phòng Công nghệ; chức danh Backend Developer; dải lương 15–25 triệu VND</x:v>
      </x:c>
      <x:c r="M83" s="20" t="str">
        <x:v>1. Chuẩn bị dữ liệu: Có HR Manager, Admin, nhân viên mẫu, phòng ban/chức danh test.
2. Đăng nhập bằng tài khoản vai trò 'Trưởng bộ phận' được phép thao tác.
3. Mở chức năng 'tạo yêu cầu tuyển dụng cho vị trí mình cần người' trên môi trường staging.
4. Thử một bộ dữ liệu hợp lệ và một bộ thiếu/sai điều kiện bắt buộc; thực hiện Lưu/Gửi duyệt.
5. So sánh xác thực UI/API và dữ liệu được ghi.</x:v>
      </x:c>
      <x:c r="N83" s="20" t="str">
        <x:v>Dải lương đề xuất nằm ngoài dải chuẩn của chức danh thì bắt buộc nhập giải trình</x:v>
      </x:c>
      <x:c r="O83" s="20" t="str"/>
      <x:c r="P83" s="20" t="str">
        <x:v>Chưa chạy</x:v>
      </x:c>
      <x:c r="Q83" s="20" t="str"/>
      <x:c r="R83" s="20" t="str"/>
      <x:c r="S83" s="26" t="str"/>
      <x:c r="T83" s="20" t="str">
        <x:v>Ưu tiên tự động hóa</x:v>
      </x:c>
      <x:c r="U83" s="20" t="str">
        <x:v>Nguồn: 4. Product Backlog!F28, tiêu chí 3</x:v>
      </x:c>
      <x:c r="V83" s="20" t="str">
        <x:v>S2-10</x:v>
      </x:c>
      <x:c r="W83" s="20" t="str">
        <x:v>Backlog / AC</x:v>
      </x:c>
    </x:row>
    <x:row r="84" ht="92" customHeight="1">
      <x:c r="A84" s="20" t="str">
        <x:v>TC-S2-10-04</x:v>
      </x:c>
      <x:c r="B84" s="20" t="n">
        <x:v>2</x:v>
      </x:c>
      <x:c r="C84" s="20" t="str">
        <x:v>EP-03</x:v>
      </x:c>
      <x:c r="D84" s="20" t="str">
        <x:v>S2-10</x:v>
      </x:c>
      <x:c r="E84" s="20" t="str">
        <x:v>S2-10-AC04</x:v>
      </x:c>
      <x:c r="F84" s="20" t="str">
        <x:v>Yêu cầu &amp; Phê duyệt</x:v>
      </x:c>
      <x:c r="G84" s="20" t="str">
        <x:v>Ngày cần người không được ở quá khứ</x:v>
      </x:c>
      <x:c r="H84" s="20" t="str">
        <x:v>Negative / RBAC</x:v>
      </x:c>
      <x:c r="I84" s="20" t="str">
        <x:v>High</x:v>
      </x:c>
      <x:c r="J84" s="20" t="str">
        <x:v>Trưởng bộ phận</x:v>
      </x:c>
      <x:c r="K84" s="20" t="str">
        <x:v>Có HR Manager, Admin, nhân viên mẫu, phòng ban/chức danh test.</x:v>
      </x:c>
      <x:c r="L84" s="20" t="str">
        <x:v>Phòng Công nghệ; chức danh Backend Developer; dải lương 15–25 triệu VND</x:v>
      </x:c>
      <x:c r="M84" s="20" t="str">
        <x:v>1. Chuẩn bị dữ liệu: Có HR Manager, Admin, nhân viên mẫu, phòng ban/chức danh test.
2. Đăng nhập bằng tài khoản vai trò 'Trưởng bộ phận' được phép thao tác.
3. Mở chức năng 'tạo yêu cầu tuyển dụng cho vị trí mình cần người'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84" s="20" t="str">
        <x:v>Ngày cần người không được ở quá khứ</x:v>
      </x:c>
      <x:c r="O84" s="20" t="str"/>
      <x:c r="P84" s="20" t="str">
        <x:v>Chưa chạy</x:v>
      </x:c>
      <x:c r="Q84" s="20" t="str"/>
      <x:c r="R84" s="20" t="str"/>
      <x:c r="S84" s="26" t="str"/>
      <x:c r="T84" s="20" t="str">
        <x:v>Ưu tiên tự động hóa</x:v>
      </x:c>
      <x:c r="U84" s="20" t="str">
        <x:v>Nguồn: 4. Product Backlog!F28, tiêu chí 4</x:v>
      </x:c>
      <x:c r="V84" s="20" t="str">
        <x:v>S2-10</x:v>
      </x:c>
      <x:c r="W84" s="20" t="str">
        <x:v>Backlog / AC</x:v>
      </x:c>
    </x:row>
    <x:row r="85" ht="92" customHeight="1">
      <x:c r="A85" s="20" t="str">
        <x:v>TC-S2-10-X01</x:v>
      </x:c>
      <x:c r="B85" s="20" t="n">
        <x:v>2</x:v>
      </x:c>
      <x:c r="C85" s="20" t="str">
        <x:v>EP-03</x:v>
      </x:c>
      <x:c r="D85" s="20" t="str">
        <x:v>S2-10</x:v>
      </x:c>
      <x:c r="E85" s="20" t="str">
        <x:v>QA-EXTRA</x:v>
      </x:c>
      <x:c r="F85" s="20" t="str">
        <x:v>Yêu cầu &amp; Phê duyệt</x:v>
      </x:c>
      <x:c r="G85" s="20" t="str">
        <x:v>Ngày cần người ở quá khứ và dải lương ngoài chuẩn</x:v>
      </x:c>
      <x:c r="H85" s="20" t="str">
        <x:v>Boundary</x:v>
      </x:c>
      <x:c r="I85" s="20" t="str">
        <x:v>High</x:v>
      </x:c>
      <x:c r="J85" s="20" t="str">
        <x:v>Trưởng bộ phận</x:v>
      </x:c>
      <x:c r="K85" s="20" t="str">
        <x:v>Có HR Manager, Admin, nhân viên mẫu, phòng ban/chức danh test.</x:v>
      </x:c>
      <x:c r="L85" s="20" t="str">
        <x:v>Ngày hôm qua; lương 30 triệu vượt dải 15–25 triệu</x:v>
      </x:c>
      <x:c r="M85" s="20" t="str">
        <x:v>1. Tạo yêu cầu với ngày quá khứ và không giải trình
2. Gửi
3. Sửa ngày tương lai, nhập giải trình</x:v>
      </x:c>
      <x:c r="N85" s="20" t="str">
        <x:v>Hai điều kiện lỗi bị chặn; dữ liệu hợp lệ được gửi đúng luồng</x:v>
      </x:c>
      <x:c r="O85" s="20" t="str"/>
      <x:c r="P85" s="20" t="str">
        <x:v>Chưa chạy</x:v>
      </x:c>
      <x:c r="Q85" s="20" t="str"/>
      <x:c r="R85" s="20" t="str"/>
      <x:c r="S85" s="26" t="str"/>
      <x:c r="T85" s="20" t="str">
        <x:v>Ưu tiên tự động hóa</x:v>
      </x:c>
      <x:c r="U85" s="20" t="str">
        <x:v>Kịch bản rủi ro/biên; nếu vượt yêu cầu backlog, xác nhận PO.</x:v>
      </x:c>
      <x:c r="V85" s="20" t="str">
        <x:v>S2-10</x:v>
      </x:c>
      <x:c r="W85" s="20" t="str">
        <x:v>Bổ sung QA</x:v>
      </x:c>
    </x:row>
    <x:row r="86" ht="92" customHeight="1">
      <x:c r="A86" s="20" t="str">
        <x:v>TC-S3-01-01</x:v>
      </x:c>
      <x:c r="B86" s="20" t="n">
        <x:v>3</x:v>
      </x:c>
      <x:c r="C86" s="20" t="str">
        <x:v>EP-03</x:v>
      </x:c>
      <x:c r="D86" s="20" t="str">
        <x:v>S3-01</x:v>
      </x:c>
      <x:c r="E86" s="20" t="str">
        <x:v>S3-01-AC01</x:v>
      </x:c>
      <x:c r="F86" s="20" t="str">
        <x:v>Yêu cầu &amp; Phê duyệt</x:v>
      </x:c>
      <x:c r="G86" s="20" t="str">
        <x:v>Khai báo chuỗi cấp duyệt theo phòng ban và theo mức lương đề xuất</x:v>
      </x:c>
      <x:c r="H86" s="20" t="str">
        <x:v>Functional</x:v>
      </x:c>
      <x:c r="I86" s="20" t="str">
        <x:v>Critical</x:v>
      </x:c>
      <x:c r="J86" s="20" t="str">
        <x:v>Trưởng phòng Nhân sự</x:v>
      </x:c>
      <x:c r="K86" s="20" t="str">
        <x:v>Có phòng ban, dải lương, yêu cầu nháp/chờ duyệt và chuỗi cấp duyệt mẫu.</x:v>
      </x:c>
      <x:c r="L86" s="20" t="str">
        <x:v>REQ-TEST-001; cấp duyệt L1/L2/L3; hạn mức 25 triệu VND</x:v>
      </x:c>
      <x:c r="M86" s="20" t="str">
        <x:v>1. Chuẩn bị dữ liệu: Có phòng ban, dải lương, yêu cầu nháp/chờ duyệt và chuỗi cấp duyệt mẫu.
2. Đăng nhập bằng tài khoản vai trò 'Trưởng phòng Nhân sự' được phép thao tác.
3. Mở chức năng 'cấu hình luồng phê duyệt nhiều cấp theo hạn mức' trên môi trường staging.
4. HR khai báo quy tắc duyệt lương trong và ngoài dải cho hai phòng
5. tạo hai REQ và xem các cấp được sinh.
6. Ghi kết quả thực tế và đối chiếu tiêu chí S3-01-AC01.</x:v>
      </x:c>
      <x:c r="N86" s="20" t="str">
        <x:v>Khai báo chuỗi cấp duyệt theo phòng ban và theo mức lương đề xuất</x:v>
      </x:c>
      <x:c r="O86" s="20" t="str"/>
      <x:c r="P86" s="20" t="str">
        <x:v>Chưa chạy</x:v>
      </x:c>
      <x:c r="Q86" s="20" t="str"/>
      <x:c r="R86" s="20" t="str"/>
      <x:c r="S86" s="26" t="str"/>
      <x:c r="T86" s="20" t="str">
        <x:v>Ưu tiên tự động hóa</x:v>
      </x:c>
      <x:c r="U86" s="20" t="str">
        <x:v>Nguồn: 4. Product Backlog!F31, tiêu chí 1</x:v>
      </x:c>
      <x:c r="V86" s="20" t="str">
        <x:v>S3-01</x:v>
      </x:c>
      <x:c r="W86" s="20" t="str">
        <x:v>Backlog / AC</x:v>
      </x:c>
    </x:row>
    <x:row r="87" ht="92" customHeight="1">
      <x:c r="A87" s="20" t="str">
        <x:v>TC-S3-01-02</x:v>
      </x:c>
      <x:c r="B87" s="20" t="n">
        <x:v>3</x:v>
      </x:c>
      <x:c r="C87" s="20" t="str">
        <x:v>EP-03</x:v>
      </x:c>
      <x:c r="D87" s="20" t="str">
        <x:v>S3-01</x:v>
      </x:c>
      <x:c r="E87" s="20" t="str">
        <x:v>S3-01-AC02</x:v>
      </x:c>
      <x:c r="F87" s="20" t="str">
        <x:v>Yêu cầu &amp; Phê duyệt</x:v>
      </x:c>
      <x:c r="G87" s="20" t="str">
        <x:v>Yêu cầu vượt hạn mức tự động thêm cấp duyệt cao hơn</x:v>
      </x:c>
      <x:c r="H87" s="20" t="str">
        <x:v>Functional</x:v>
      </x:c>
      <x:c r="I87" s="20" t="str">
        <x:v>Critical</x:v>
      </x:c>
      <x:c r="J87" s="20" t="str">
        <x:v>Trưởng phòng Nhân sự</x:v>
      </x:c>
      <x:c r="K87" s="20" t="str">
        <x:v>Có phòng ban, dải lương, yêu cầu nháp/chờ duyệt và chuỗi cấp duyệt mẫu.</x:v>
      </x:c>
      <x:c r="L87" s="20" t="str">
        <x:v>REQ-TEST-001; cấp duyệt L1/L2/L3; hạn mức 25 triệu VND</x:v>
      </x:c>
      <x:c r="M87" s="20" t="str">
        <x:v>1. Chuẩn bị dữ liệu: Có phòng ban, dải lương, yêu cầu nháp/chờ duyệt và chuỗi cấp duyệt mẫu.
2. Đăng nhập bằng tài khoản vai trò 'Trưởng phòng Nhân sự' được phép thao tác.
3. Mở chức năng 'cấu hình luồng phê duyệt nhiều cấp theo hạn mức' trên môi trường staging.
4. Thử một bộ dữ liệu hợp lệ và một bộ thiếu/sai điều kiện bắt buộc; thực hiện Lưu/Gửi duyệt.
5. So sánh xác thực UI/API và dữ liệu được ghi.</x:v>
      </x:c>
      <x:c r="N87" s="20" t="str">
        <x:v>Yêu cầu vượt hạn mức tự động thêm cấp duyệt cao hơn</x:v>
      </x:c>
      <x:c r="O87" s="20" t="str"/>
      <x:c r="P87" s="20" t="str">
        <x:v>Chưa chạy</x:v>
      </x:c>
      <x:c r="Q87" s="20" t="str"/>
      <x:c r="R87" s="20" t="str"/>
      <x:c r="S87" s="26" t="str"/>
      <x:c r="T87" s="20" t="str">
        <x:v>Ưu tiên tự động hóa</x:v>
      </x:c>
      <x:c r="U87" s="20" t="str">
        <x:v>Nguồn: 4. Product Backlog!F31, tiêu chí 2</x:v>
      </x:c>
      <x:c r="V87" s="20" t="str">
        <x:v>S3-01</x:v>
      </x:c>
      <x:c r="W87" s="20" t="str">
        <x:v>Backlog / AC</x:v>
      </x:c>
    </x:row>
    <x:row r="88" ht="92" customHeight="1">
      <x:c r="A88" s="20" t="str">
        <x:v>TC-S3-01-03</x:v>
      </x:c>
      <x:c r="B88" s="20" t="n">
        <x:v>3</x:v>
      </x:c>
      <x:c r="C88" s="20" t="str">
        <x:v>EP-03</x:v>
      </x:c>
      <x:c r="D88" s="20" t="str">
        <x:v>S3-01</x:v>
      </x:c>
      <x:c r="E88" s="20" t="str">
        <x:v>S3-01-AC03</x:v>
      </x:c>
      <x:c r="F88" s="20" t="str">
        <x:v>Yêu cầu &amp; Phê duyệt</x:v>
      </x:c>
      <x:c r="G88" s="20" t="str">
        <x:v>Cấu hình sai (không có cấp duyệt nào khớp) bị chặn lưu</x:v>
      </x:c>
      <x:c r="H88" s="20" t="str">
        <x:v>Negative / RBAC</x:v>
      </x:c>
      <x:c r="I88" s="20" t="str">
        <x:v>Critical</x:v>
      </x:c>
      <x:c r="J88" s="20" t="str">
        <x:v>Trưởng phòng Nhân sự</x:v>
      </x:c>
      <x:c r="K88" s="20" t="str">
        <x:v>Có phòng ban, dải lương, yêu cầu nháp/chờ duyệt và chuỗi cấp duyệt mẫu.</x:v>
      </x:c>
      <x:c r="L88" s="20" t="str">
        <x:v>REQ-TEST-001; cấp duyệt L1/L2/L3; hạn mức 25 triệu VND</x:v>
      </x:c>
      <x:c r="M88" s="20" t="str">
        <x:v>1. Chuẩn bị dữ liệu: Có phòng ban, dải lương, yêu cầu nháp/chờ duyệt và chuỗi cấp duyệt mẫu.
2. Đăng nhập bằng tài khoản vai trò 'Trưởng phòng Nhân sự' được phép thao tác.
3. Mở chức năng 'cấu hình luồng phê duyệt nhiều cấp theo hạn mức' trên môi trường staging.
4. Xóa người duyệt trong quy tắc khiến một ngưỡng không khớp
5. bấm Lưu
6. đọc lỗi validation server.
7. Ghi kết quả thực tế và đối chiếu tiêu chí S3-01-AC03.</x:v>
      </x:c>
      <x:c r="N88" s="20" t="str">
        <x:v>Cấu hình sai (không có cấp duyệt nào khớp) bị chặn lưu</x:v>
      </x:c>
      <x:c r="O88" s="20" t="str"/>
      <x:c r="P88" s="20" t="str">
        <x:v>Chưa chạy</x:v>
      </x:c>
      <x:c r="Q88" s="20" t="str"/>
      <x:c r="R88" s="20" t="str"/>
      <x:c r="S88" s="26" t="str"/>
      <x:c r="T88" s="20" t="str">
        <x:v>Ưu tiên tự động hóa</x:v>
      </x:c>
      <x:c r="U88" s="20" t="str">
        <x:v>Nguồn: 4. Product Backlog!F31, tiêu chí 3</x:v>
      </x:c>
      <x:c r="V88" s="20" t="str">
        <x:v>S3-01</x:v>
      </x:c>
      <x:c r="W88" s="20" t="str">
        <x:v>Backlog / AC</x:v>
      </x:c>
    </x:row>
    <x:row r="89" ht="92" customHeight="1">
      <x:c r="A89" s="20" t="str">
        <x:v>TC-S3-01-04</x:v>
      </x:c>
      <x:c r="B89" s="20" t="n">
        <x:v>3</x:v>
      </x:c>
      <x:c r="C89" s="20" t="str">
        <x:v>EP-03</x:v>
      </x:c>
      <x:c r="D89" s="20" t="str">
        <x:v>S3-01</x:v>
      </x:c>
      <x:c r="E89" s="20" t="str">
        <x:v>S3-01-AC04</x:v>
      </x:c>
      <x:c r="F89" s="20" t="str">
        <x:v>Yêu cầu &amp; Phê duyệt</x:v>
      </x:c>
      <x:c r="G89" s="20" t="str">
        <x:v>Luồng đang chạy không bị ảnh hưởng khi cấu hình thay đổi</x:v>
      </x:c>
      <x:c r="H89" s="20" t="str">
        <x:v>Functional</x:v>
      </x:c>
      <x:c r="I89" s="20" t="str">
        <x:v>Critical</x:v>
      </x:c>
      <x:c r="J89" s="20" t="str">
        <x:v>Trưởng phòng Nhân sự</x:v>
      </x:c>
      <x:c r="K89" s="20" t="str">
        <x:v>Có phòng ban, dải lương, yêu cầu nháp/chờ duyệt và chuỗi cấp duyệt mẫu.</x:v>
      </x:c>
      <x:c r="L89" s="20" t="str">
        <x:v>REQ-TEST-001; cấp duyệt L1/L2/L3; hạn mức 25 triệu VND</x:v>
      </x:c>
      <x:c r="M89" s="20" t="str">
        <x:v>1. Chuẩn bị dữ liệu: Có phòng ban, dải lương, yêu cầu nháp/chờ duyệt và chuỗi cấp duyệt mẫu.
2. Đăng nhập bằng tài khoản vai trò 'Trưởng phòng Nhân sự' được phép thao tác.
3. Mở chức năng 'cấu hình luồng phê duyệt nhiều cấp theo hạn mức' trên môi trường staging.
4. Gửi REQ A với quy tắc phiên bản 1
5. thay đổi cấu hình
6. duyệt A
7. tạo REQ B và đối chiếu hai phiên bản.
8. Ghi kết quả thực tế và đối chiếu tiêu chí S3-01-AC04.</x:v>
      </x:c>
      <x:c r="N89" s="20" t="str">
        <x:v>Luồng đang chạy không bị ảnh hưởng khi cấu hình thay đổi</x:v>
      </x:c>
      <x:c r="O89" s="20" t="str"/>
      <x:c r="P89" s="20" t="str">
        <x:v>Chưa chạy</x:v>
      </x:c>
      <x:c r="Q89" s="20" t="str"/>
      <x:c r="R89" s="20" t="str"/>
      <x:c r="S89" s="26" t="str"/>
      <x:c r="T89" s="20" t="str">
        <x:v>Ưu tiên tự động hóa</x:v>
      </x:c>
      <x:c r="U89" s="20" t="str">
        <x:v>Nguồn: 4. Product Backlog!F31, tiêu chí 4</x:v>
      </x:c>
      <x:c r="V89" s="20" t="str">
        <x:v>S3-01</x:v>
      </x:c>
      <x:c r="W89" s="20" t="str">
        <x:v>Backlog / AC</x:v>
      </x:c>
    </x:row>
    <x:row r="90" ht="92" customHeight="1">
      <x:c r="A90" s="20" t="str">
        <x:v>TC-S3-01-X01</x:v>
      </x:c>
      <x:c r="B90" s="20" t="n">
        <x:v>3</x:v>
      </x:c>
      <x:c r="C90" s="20" t="str">
        <x:v>EP-03</x:v>
      </x:c>
      <x:c r="D90" s="20" t="str">
        <x:v>S3-01</x:v>
      </x:c>
      <x:c r="E90" s="20" t="str">
        <x:v>QA-EXTRA</x:v>
      </x:c>
      <x:c r="F90" s="20" t="str">
        <x:v>Yêu cầu &amp; Phê duyệt</x:v>
      </x:c>
      <x:c r="G90" s="20" t="str">
        <x:v>Đổi cấu hình duyệt giữa khi request đang chờ</x:v>
      </x:c>
      <x:c r="H90" s="20" t="str">
        <x:v>Integration</x:v>
      </x:c>
      <x:c r="I90" s="20" t="str">
        <x:v>Critical</x:v>
      </x:c>
      <x:c r="J90" s="20" t="str">
        <x:v>Trưởng phòng Nhân sự</x:v>
      </x:c>
      <x:c r="K90" s="20" t="str">
        <x:v>Có phòng ban, dải lương, yêu cầu nháp/chờ duyệt và chuỗi cấp duyệt mẫu.</x:v>
      </x:c>
      <x:c r="L90" s="20" t="str">
        <x:v>REQ A chạy quy tắc 2 cấp; quy tắc mới 3 cấp</x:v>
      </x:c>
      <x:c r="M90" s="20" t="str">
        <x:v>1. Gửi REQ A vào duyệt
2. HR sửa cấu hình
3. Duyệt REQ A
4. Gửi REQ B</x:v>
      </x:c>
      <x:c r="N90" s="20" t="str">
        <x:v>REQ A theo phiên bản quy tắc cũ; REQ B theo cấu hình mới</x:v>
      </x:c>
      <x:c r="O90" s="20" t="str"/>
      <x:c r="P90" s="20" t="str">
        <x:v>Chưa chạy</x:v>
      </x:c>
      <x:c r="Q90" s="20" t="str"/>
      <x:c r="R90" s="20" t="str"/>
      <x:c r="S90" s="26" t="str"/>
      <x:c r="T90" s="20" t="str">
        <x:v>Ưu tiên tự động hóa</x:v>
      </x:c>
      <x:c r="U90" s="20" t="str">
        <x:v>Kịch bản rủi ro/biên; nếu vượt yêu cầu backlog, xác nhận PO.</x:v>
      </x:c>
      <x:c r="V90" s="20" t="str">
        <x:v>S3-01</x:v>
      </x:c>
      <x:c r="W90" s="20" t="str">
        <x:v>Bổ sung QA</x:v>
      </x:c>
    </x:row>
    <x:row r="91" ht="92" customHeight="1">
      <x:c r="A91" s="20" t="str">
        <x:v>TC-S3-02-01</x:v>
      </x:c>
      <x:c r="B91" s="20" t="n">
        <x:v>3</x:v>
      </x:c>
      <x:c r="C91" s="20" t="str">
        <x:v>EP-03</x:v>
      </x:c>
      <x:c r="D91" s="20" t="str">
        <x:v>S3-02</x:v>
      </x:c>
      <x:c r="E91" s="20" t="str">
        <x:v>S3-02-AC01</x:v>
      </x:c>
      <x:c r="F91" s="20" t="str">
        <x:v>Yêu cầu &amp; Phê duyệt</x:v>
      </x:c>
      <x:c r="G91" s="20" t="str">
        <x:v>Ba hành động: Duyệt, Từ chối, Yêu cầu bổ sung — hai hành động sau bắt buộc nhập ý kiến</x:v>
      </x:c>
      <x:c r="H91" s="20" t="str">
        <x:v>Functional</x:v>
      </x:c>
      <x:c r="I91" s="20" t="str">
        <x:v>Critical</x:v>
      </x:c>
      <x:c r="J91" s="20" t="str">
        <x:v>Người duyệt</x:v>
      </x:c>
      <x:c r="K91" s="20" t="str">
        <x:v>Có phòng ban, dải lương, yêu cầu nháp/chờ duyệt và chuỗi cấp duyệt mẫu.</x:v>
      </x:c>
      <x:c r="L91" s="20" t="str">
        <x:v>REQ-TEST-001; cấp duyệt L1/L2/L3; hạn mức 25 triệu VND</x:v>
      </x:c>
      <x:c r="M91" s="20" t="str">
        <x:v>1. Chuẩn bị dữ liệu: Có phòng ban, dải lương, yêu cầu nháp/chờ duyệt và chuỗi cấp duyệt mẫu.
2. Đăng nhập bằng tài khoản vai trò 'Người duyệt' được phép thao tác.
3. Mở chức năng 'phê duyệt, từ chối hoặc yêu cầu bổ sung một yêu cầu tuyển dụng' trên môi trường staging.
4. Thử một bộ dữ liệu hợp lệ và một bộ thiếu/sai điều kiện bắt buộc; thực hiện Lưu/Gửi duyệt.
5. So sánh xác thực UI/API và dữ liệu được ghi.</x:v>
      </x:c>
      <x:c r="N91" s="20" t="str">
        <x:v>Ba hành động: Duyệt, Từ chối, Yêu cầu bổ sung — hai hành động sau bắt buộc nhập ý kiến</x:v>
      </x:c>
      <x:c r="O91" s="20" t="str"/>
      <x:c r="P91" s="20" t="str">
        <x:v>Chưa chạy</x:v>
      </x:c>
      <x:c r="Q91" s="20" t="str"/>
      <x:c r="R91" s="20" t="str"/>
      <x:c r="S91" s="26" t="str"/>
      <x:c r="T91" s="20" t="str">
        <x:v>Ưu tiên tự động hóa</x:v>
      </x:c>
      <x:c r="U91" s="20" t="str">
        <x:v>Nguồn: 4. Product Backlog!F32, tiêu chí 1</x:v>
      </x:c>
      <x:c r="V91" s="20" t="str">
        <x:v>S3-02</x:v>
      </x:c>
      <x:c r="W91" s="20" t="str">
        <x:v>Backlog / AC</x:v>
      </x:c>
    </x:row>
    <x:row r="92" ht="92" customHeight="1">
      <x:c r="A92" s="20" t="str">
        <x:v>TC-S3-02-02</x:v>
      </x:c>
      <x:c r="B92" s="20" t="n">
        <x:v>3</x:v>
      </x:c>
      <x:c r="C92" s="20" t="str">
        <x:v>EP-03</x:v>
      </x:c>
      <x:c r="D92" s="20" t="str">
        <x:v>S3-02</x:v>
      </x:c>
      <x:c r="E92" s="20" t="str">
        <x:v>S3-02-AC02</x:v>
      </x:c>
      <x:c r="F92" s="20" t="str">
        <x:v>Yêu cầu &amp; Phê duyệt</x:v>
      </x:c>
      <x:c r="G92" s="20" t="str">
        <x:v>Duyệt xong tự chuyển sang cấp kế tiếp; cấp cuối duyệt thì yêu cầu chuyển sang trạng thái Đã duyệt</x:v>
      </x:c>
      <x:c r="H92" s="20" t="str">
        <x:v>Functional</x:v>
      </x:c>
      <x:c r="I92" s="20" t="str">
        <x:v>Critical</x:v>
      </x:c>
      <x:c r="J92" s="20" t="str">
        <x:v>Người duyệt</x:v>
      </x:c>
      <x:c r="K92" s="20" t="str">
        <x:v>Có phòng ban, dải lương, yêu cầu nháp/chờ duyệt và chuỗi cấp duyệt mẫu.</x:v>
      </x:c>
      <x:c r="L92" s="20" t="str">
        <x:v>REQ-TEST-001; cấp duyệt L1/L2/L3; hạn mức 25 triệu VND</x:v>
      </x:c>
      <x:c r="M92" s="20" t="str">
        <x:v>1. Chuẩn bị dữ liệu: Có phòng ban, dải lương, yêu cầu nháp/chờ duyệt và chuỗi cấp duyệt mẫu.
2. Đăng nhập bằng tài khoản vai trò 'Người duyệt' được phép thao tác.
3. Mở chức năng 'phê duyệt, từ chối hoặc yêu cầu bổ sung một yêu cầu tuyển dụng' trên môi trường staging.
4. L1 duyệt REQ
5. xem queue của L2
6. L2 duyệt
7. đối chiếu trạng thái cuối của REQ và nhật ký.
8. Ghi kết quả thực tế và đối chiếu tiêu chí S3-02-AC02.</x:v>
      </x:c>
      <x:c r="N92" s="20" t="str">
        <x:v>Duyệt xong tự chuyển sang cấp kế tiếp; cấp cuối duyệt thì yêu cầu chuyển sang trạng thái Đã duyệt</x:v>
      </x:c>
      <x:c r="O92" s="20" t="str"/>
      <x:c r="P92" s="20" t="str">
        <x:v>Chưa chạy</x:v>
      </x:c>
      <x:c r="Q92" s="20" t="str"/>
      <x:c r="R92" s="20" t="str"/>
      <x:c r="S92" s="26" t="str"/>
      <x:c r="T92" s="20" t="str">
        <x:v>Ưu tiên tự động hóa</x:v>
      </x:c>
      <x:c r="U92" s="20" t="str">
        <x:v>Nguồn: 4. Product Backlog!F32, tiêu chí 2</x:v>
      </x:c>
      <x:c r="V92" s="20" t="str">
        <x:v>S3-02</x:v>
      </x:c>
      <x:c r="W92" s="20" t="str">
        <x:v>Backlog / AC</x:v>
      </x:c>
    </x:row>
    <x:row r="93" ht="92" customHeight="1">
      <x:c r="A93" s="20" t="str">
        <x:v>TC-S3-02-03</x:v>
      </x:c>
      <x:c r="B93" s="20" t="n">
        <x:v>3</x:v>
      </x:c>
      <x:c r="C93" s="20" t="str">
        <x:v>EP-03</x:v>
      </x:c>
      <x:c r="D93" s="20" t="str">
        <x:v>S3-02</x:v>
      </x:c>
      <x:c r="E93" s="20" t="str">
        <x:v>S3-02-AC03</x:v>
      </x:c>
      <x:c r="F93" s="20" t="str">
        <x:v>Yêu cầu &amp; Phê duyệt</x:v>
      </x:c>
      <x:c r="G93" s="20" t="str">
        <x:v>Yêu cầu bổ sung trả hồ sơ về cho người tạo và giữ nguyên lịch sử</x:v>
      </x:c>
      <x:c r="H93" s="20" t="str">
        <x:v>Functional</x:v>
      </x:c>
      <x:c r="I93" s="20" t="str">
        <x:v>Critical</x:v>
      </x:c>
      <x:c r="J93" s="20" t="str">
        <x:v>Người duyệt</x:v>
      </x:c>
      <x:c r="K93" s="20" t="str">
        <x:v>Có phòng ban, dải lương, yêu cầu nháp/chờ duyệt và chuỗi cấp duyệt mẫu.</x:v>
      </x:c>
      <x:c r="L93" s="20" t="str">
        <x:v>REQ-TEST-001; cấp duyệt L1/L2/L3; hạn mức 25 triệu VND</x:v>
      </x:c>
      <x:c r="M93" s="20" t="str">
        <x:v>1. Chuẩn bị dữ liệu: Có phòng ban, dải lương, yêu cầu nháp/chờ duyệt và chuỗi cấp duyệt mẫu.
2. Đăng nhập bằng tài khoản vai trò 'Người duyệt' được phép thao tác.
3. Mở chức năng 'phê duyệt, từ chối hoặc yêu cầu bổ sung một yêu cầu tuyển dụng' trên môi trường staging.
4. Thực hiện ít nhất hai thao tác ở thời điểm và tài khoản khác nhau; mở lịch sử/nhật ký.
5. Đối chiếu actor, hành động, dấu thời gian và thứ tự sự kiện.</x:v>
      </x:c>
      <x:c r="N93" s="20" t="str">
        <x:v>Yêu cầu bổ sung trả hồ sơ về cho người tạo và giữ nguyên lịch sử</x:v>
      </x:c>
      <x:c r="O93" s="20" t="str"/>
      <x:c r="P93" s="20" t="str">
        <x:v>Chưa chạy</x:v>
      </x:c>
      <x:c r="Q93" s="20" t="str"/>
      <x:c r="R93" s="20" t="str"/>
      <x:c r="S93" s="26" t="str"/>
      <x:c r="T93" s="20" t="str">
        <x:v>Ưu tiên tự động hóa</x:v>
      </x:c>
      <x:c r="U93" s="20" t="str">
        <x:v>Nguồn: 4. Product Backlog!F32, tiêu chí 3</x:v>
      </x:c>
      <x:c r="V93" s="20" t="str">
        <x:v>S3-02</x:v>
      </x:c>
      <x:c r="W93" s="20" t="str">
        <x:v>Backlog / AC</x:v>
      </x:c>
    </x:row>
    <x:row r="94" ht="92" customHeight="1">
      <x:c r="A94" s="20" t="str">
        <x:v>TC-S3-02-X01</x:v>
      </x:c>
      <x:c r="B94" s="20" t="n">
        <x:v>3</x:v>
      </x:c>
      <x:c r="C94" s="20" t="str">
        <x:v>EP-03</x:v>
      </x:c>
      <x:c r="D94" s="20" t="str">
        <x:v>S3-02</x:v>
      </x:c>
      <x:c r="E94" s="20" t="str">
        <x:v>QA-EXTRA</x:v>
      </x:c>
      <x:c r="F94" s="20" t="str">
        <x:v>Yêu cầu &amp; Phê duyệt</x:v>
      </x:c>
      <x:c r="G94" s="20" t="str">
        <x:v>Đồng thời hai người duyệt cùng một cấp</x:v>
      </x:c>
      <x:c r="H94" s="20" t="str">
        <x:v>Concurrency</x:v>
      </x:c>
      <x:c r="I94" s="20" t="str">
        <x:v>Critical</x:v>
      </x:c>
      <x:c r="J94" s="20" t="str">
        <x:v>Người duyệt</x:v>
      </x:c>
      <x:c r="K94" s="20" t="str">
        <x:v>Có phòng ban, dải lương, yêu cầu nháp/chờ duyệt và chuỗi cấp duyệt mẫu.</x:v>
      </x:c>
      <x:c r="L94" s="20" t="str">
        <x:v>REQ chờ duyệt; 2 phiên cùng người/cấp</x:v>
      </x:c>
      <x:c r="M94" s="20" t="str">
        <x:v>1. Mở REQ ở hai tab
2. Gửi quyết định gần đồng thời
3. Đối soát audit</x:v>
      </x:c>
      <x:c r="N94" s="20" t="str">
        <x:v>Không tạo bước duyệt trùng hoặc nhảy cấp; lịch sử nhất quán</x:v>
      </x:c>
      <x:c r="O94" s="20" t="str"/>
      <x:c r="P94" s="20" t="str">
        <x:v>Chưa chạy</x:v>
      </x:c>
      <x:c r="Q94" s="20" t="str"/>
      <x:c r="R94" s="20" t="str"/>
      <x:c r="S94" s="26" t="str"/>
      <x:c r="T94" s="20" t="str">
        <x:v>Ưu tiên tự động hóa</x:v>
      </x:c>
      <x:c r="U94" s="20" t="str">
        <x:v>Kịch bản rủi ro/biên; nếu vượt yêu cầu backlog, xác nhận PO.</x:v>
      </x:c>
      <x:c r="V94" s="20" t="str">
        <x:v>S3-02</x:v>
      </x:c>
      <x:c r="W94" s="20" t="str">
        <x:v>Bổ sung QA</x:v>
      </x:c>
    </x:row>
    <x:row r="95" ht="92" customHeight="1">
      <x:c r="A95" s="20" t="str">
        <x:v>TC-S3-03-01</x:v>
      </x:c>
      <x:c r="B95" s="20" t="n">
        <x:v>3</x:v>
      </x:c>
      <x:c r="C95" s="20" t="str">
        <x:v>EP-03</x:v>
      </x:c>
      <x:c r="D95" s="20" t="str">
        <x:v>S3-03</x:v>
      </x:c>
      <x:c r="E95" s="20" t="str">
        <x:v>S3-03-AC01</x:v>
      </x:c>
      <x:c r="F95" s="20" t="str">
        <x:v>Yêu cầu &amp; Phê duyệt</x:v>
      </x:c>
      <x:c r="G95" s="20" t="str">
        <x:v>Hiển thị chuỗi cấp duyệt, cấp nào đã duyệt, đang chờ ai</x:v>
      </x:c>
      <x:c r="H95" s="20" t="str">
        <x:v>Functional</x:v>
      </x:c>
      <x:c r="I95" s="20" t="str">
        <x:v>Critical</x:v>
      </x:c>
      <x:c r="J95" s="20" t="str">
        <x:v>Trưởng bộ phận</x:v>
      </x:c>
      <x:c r="K95" s="20" t="str">
        <x:v>Có phòng ban, dải lương, yêu cầu nháp/chờ duyệt và chuỗi cấp duyệt mẫu.</x:v>
      </x:c>
      <x:c r="L95" s="20" t="str">
        <x:v>REQ-TEST-001; cấp duyệt L1/L2/L3; hạn mức 25 triệu VND</x:v>
      </x:c>
      <x:c r="M95" s="20" t="str">
        <x:v>1. Chuẩn bị dữ liệu: Có phòng ban, dải lương, yêu cầu nháp/chờ duyệt và chuỗi cấp duyệt mẫu.
2. Đăng nhập bằng tài khoản vai trò 'Trưởng bộ phận' được phép thao tác.
3. Mở chức năng 'theo dõi trạng thái và lịch sử phê duyệt của yêu cầu' trên môi trường staging.
4. Gửi REQ tới 3 cấp
5. mỗi cấp duyệt một lần
6. mở timeline sau từng bước và đọc cấp đang chờ.
7. Ghi kết quả thực tế và đối chiếu tiêu chí S3-03-AC01.</x:v>
      </x:c>
      <x:c r="N95" s="20" t="str">
        <x:v>Hiển thị chuỗi cấp duyệt, cấp nào đã duyệt, đang chờ ai</x:v>
      </x:c>
      <x:c r="O95" s="20" t="str"/>
      <x:c r="P95" s="20" t="str">
        <x:v>Chưa chạy</x:v>
      </x:c>
      <x:c r="Q95" s="20" t="str"/>
      <x:c r="R95" s="20" t="str"/>
      <x:c r="S95" s="26" t="str"/>
      <x:c r="T95" s="20" t="str">
        <x:v>Ưu tiên tự động hóa</x:v>
      </x:c>
      <x:c r="U95" s="20" t="str">
        <x:v>Nguồn: 4. Product Backlog!F33, tiêu chí 1</x:v>
      </x:c>
      <x:c r="V95" s="20" t="str">
        <x:v>S3-03</x:v>
      </x:c>
      <x:c r="W95" s="20" t="str">
        <x:v>Backlog / AC</x:v>
      </x:c>
    </x:row>
    <x:row r="96" ht="92" customHeight="1">
      <x:c r="A96" s="20" t="str">
        <x:v>TC-S3-03-02</x:v>
      </x:c>
      <x:c r="B96" s="20" t="n">
        <x:v>3</x:v>
      </x:c>
      <x:c r="C96" s="20" t="str">
        <x:v>EP-03</x:v>
      </x:c>
      <x:c r="D96" s="20" t="str">
        <x:v>S3-03</x:v>
      </x:c>
      <x:c r="E96" s="20" t="str">
        <x:v>S3-03-AC02</x:v>
      </x:c>
      <x:c r="F96" s="20" t="str">
        <x:v>Yêu cầu &amp; Phê duyệt</x:v>
      </x:c>
      <x:c r="G96" s="20" t="str">
        <x:v>Mỗi bước ghi người duyệt, thời điểm, ý kiến</x:v>
      </x:c>
      <x:c r="H96" s="20" t="str">
        <x:v>Functional</x:v>
      </x:c>
      <x:c r="I96" s="20" t="str">
        <x:v>Critical</x:v>
      </x:c>
      <x:c r="J96" s="20" t="str">
        <x:v>Trưởng bộ phận</x:v>
      </x:c>
      <x:c r="K96" s="20" t="str">
        <x:v>Có phòng ban, dải lương, yêu cầu nháp/chờ duyệt và chuỗi cấp duyệt mẫu.</x:v>
      </x:c>
      <x:c r="L96" s="20" t="str">
        <x:v>REQ-TEST-001; cấp duyệt L1/L2/L3; hạn mức 25 triệu VND</x:v>
      </x:c>
      <x:c r="M96" s="20" t="str">
        <x:v>1. Chuẩn bị dữ liệu: Có phòng ban, dải lương, yêu cầu nháp/chờ duyệt và chuỗi cấp duyệt mẫu.
2. Đăng nhập bằng tài khoản vai trò 'Trưởng bộ phận' được phép thao tác.
3. Mở chức năng 'theo dõi trạng thái và lịch sử phê duyệt của yêu cầu' trên môi trường staging.
4. Thực hiện ít nhất hai thao tác ở thời điểm và tài khoản khác nhau; mở lịch sử/nhật ký.
5. Đối chiếu actor, hành động, dấu thời gian và thứ tự sự kiện.</x:v>
      </x:c>
      <x:c r="N96" s="20" t="str">
        <x:v>Mỗi bước ghi người duyệt, thời điểm, ý kiến</x:v>
      </x:c>
      <x:c r="O96" s="20" t="str"/>
      <x:c r="P96" s="20" t="str">
        <x:v>Chưa chạy</x:v>
      </x:c>
      <x:c r="Q96" s="20" t="str"/>
      <x:c r="R96" s="20" t="str"/>
      <x:c r="S96" s="26" t="str"/>
      <x:c r="T96" s="20" t="str">
        <x:v>Ưu tiên tự động hóa</x:v>
      </x:c>
      <x:c r="U96" s="20" t="str">
        <x:v>Nguồn: 4. Product Backlog!F33, tiêu chí 2</x:v>
      </x:c>
      <x:c r="V96" s="20" t="str">
        <x:v>S3-03</x:v>
      </x:c>
      <x:c r="W96" s="20" t="str">
        <x:v>Backlog / AC</x:v>
      </x:c>
    </x:row>
    <x:row r="97" ht="92" customHeight="1">
      <x:c r="A97" s="20" t="str">
        <x:v>TC-S3-03-03</x:v>
      </x:c>
      <x:c r="B97" s="20" t="n">
        <x:v>3</x:v>
      </x:c>
      <x:c r="C97" s="20" t="str">
        <x:v>EP-03</x:v>
      </x:c>
      <x:c r="D97" s="20" t="str">
        <x:v>S3-03</x:v>
      </x:c>
      <x:c r="E97" s="20" t="str">
        <x:v>S3-03-AC03</x:v>
      </x:c>
      <x:c r="F97" s="20" t="str">
        <x:v>Yêu cầu &amp; Phê duyệt</x:v>
      </x:c>
      <x:c r="G97" s="20" t="str">
        <x:v>Lịch sử không sửa và không xoá được</x:v>
      </x:c>
      <x:c r="H97" s="20" t="str">
        <x:v>Functional</x:v>
      </x:c>
      <x:c r="I97" s="20" t="str">
        <x:v>Critical</x:v>
      </x:c>
      <x:c r="J97" s="20" t="str">
        <x:v>Trưởng bộ phận</x:v>
      </x:c>
      <x:c r="K97" s="20" t="str">
        <x:v>Có phòng ban, dải lương, yêu cầu nháp/chờ duyệt và chuỗi cấp duyệt mẫu.</x:v>
      </x:c>
      <x:c r="L97" s="20" t="str">
        <x:v>REQ-TEST-001; cấp duyệt L1/L2/L3; hạn mức 25 triệu VND</x:v>
      </x:c>
      <x:c r="M97" s="20" t="str">
        <x:v>1. Chuẩn bị dữ liệu: Có phòng ban, dải lương, yêu cầu nháp/chờ duyệt và chuỗi cấp duyệt mẫu.
2. Đăng nhập bằng tài khoản vai trò 'Trưởng bộ phận' được phép thao tác.
3. Mở chức năng 'theo dõi trạng thái và lịch sử phê duyệt của yêu cầu' trên môi trường staging.
4. Thực hiện ít nhất hai thao tác ở thời điểm và tài khoản khác nhau; mở lịch sử/nhật ký.
5. Đối chiếu actor, hành động, dấu thời gian và thứ tự sự kiện.</x:v>
      </x:c>
      <x:c r="N97" s="20" t="str">
        <x:v>Lịch sử không sửa và không xoá được</x:v>
      </x:c>
      <x:c r="O97" s="20" t="str"/>
      <x:c r="P97" s="20" t="str">
        <x:v>Chưa chạy</x:v>
      </x:c>
      <x:c r="Q97" s="20" t="str"/>
      <x:c r="R97" s="20" t="str"/>
      <x:c r="S97" s="26" t="str"/>
      <x:c r="T97" s="20" t="str">
        <x:v>Ưu tiên tự động hóa</x:v>
      </x:c>
      <x:c r="U97" s="20" t="str">
        <x:v>Nguồn: 4. Product Backlog!F33, tiêu chí 3</x:v>
      </x:c>
      <x:c r="V97" s="20" t="str">
        <x:v>S3-03</x:v>
      </x:c>
      <x:c r="W97" s="20" t="str">
        <x:v>Backlog / AC</x:v>
      </x:c>
    </x:row>
    <x:row r="98" ht="92" customHeight="1">
      <x:c r="A98" s="20" t="str">
        <x:v>TC-S3-03-X01</x:v>
      </x:c>
      <x:c r="B98" s="20" t="n">
        <x:v>3</x:v>
      </x:c>
      <x:c r="C98" s="20" t="str">
        <x:v>EP-03</x:v>
      </x:c>
      <x:c r="D98" s="20" t="str">
        <x:v>S3-03</x:v>
      </x:c>
      <x:c r="E98" s="20" t="str">
        <x:v>QA-EXTRA</x:v>
      </x:c>
      <x:c r="F98" s="20" t="str">
        <x:v>Yêu cầu &amp; Phê duyệt</x:v>
      </x:c>
      <x:c r="G98" s="20" t="str">
        <x:v>Không sửa được audit phê duyệt qua API</x:v>
      </x:c>
      <x:c r="H98" s="20" t="str">
        <x:v>Security</x:v>
      </x:c>
      <x:c r="I98" s="20" t="str">
        <x:v>Critical</x:v>
      </x:c>
      <x:c r="J98" s="20" t="str">
        <x:v>Trưởng bộ phận</x:v>
      </x:c>
      <x:c r="K98" s="20" t="str">
        <x:v>Có phòng ban, dải lương, yêu cầu nháp/chờ duyệt và chuỗi cấp duyệt mẫu.</x:v>
      </x:c>
      <x:c r="L98" s="20" t="str">
        <x:v>Yêu cầu đã qua ít nhất 1 cấp</x:v>
      </x:c>
      <x:c r="M98" s="20" t="str">
        <x:v>1. Lấy approval_log_id
2. Gửi PATCH/DELETE bằng Admin hoặc chủ yêu cầu
3. Mở lại lịch sử</x:v>
      </x:c>
      <x:c r="N98" s="20" t="str">
        <x:v>Lịch sử bất biến theo yêu cầu, thao tác sửa/xóa bị từ chối</x:v>
      </x:c>
      <x:c r="O98" s="20" t="str"/>
      <x:c r="P98" s="20" t="str">
        <x:v>Chưa chạy</x:v>
      </x:c>
      <x:c r="Q98" s="20" t="str"/>
      <x:c r="R98" s="20" t="str"/>
      <x:c r="S98" s="26" t="str"/>
      <x:c r="T98" s="20" t="str">
        <x:v>Ưu tiên tự động hóa</x:v>
      </x:c>
      <x:c r="U98" s="20" t="str">
        <x:v>Kịch bản rủi ro/biên; nếu vượt yêu cầu backlog, xác nhận PO.</x:v>
      </x:c>
      <x:c r="V98" s="20" t="str">
        <x:v>S3-03</x:v>
      </x:c>
      <x:c r="W98" s="20" t="str">
        <x:v>Bổ sung QA</x:v>
      </x:c>
    </x:row>
    <x:row r="99" ht="92" customHeight="1">
      <x:c r="A99" s="20" t="str">
        <x:v>TC-S3-04-01</x:v>
      </x:c>
      <x:c r="B99" s="20" t="n">
        <x:v>3</x:v>
      </x:c>
      <x:c r="C99" s="20" t="str">
        <x:v>EP-03</x:v>
      </x:c>
      <x:c r="D99" s="20" t="str">
        <x:v>S3-04</x:v>
      </x:c>
      <x:c r="E99" s="20" t="str">
        <x:v>S3-04-AC01</x:v>
      </x:c>
      <x:c r="F99" s="20" t="str">
        <x:v>Yêu cầu &amp; Phê duyệt</x:v>
      </x:c>
      <x:c r="G99" s="20" t="str">
        <x:v>Khai báo chỉ tiêu headcount và ngân sách lương theo phòng ban theo năm</x:v>
      </x:c>
      <x:c r="H99" s="20" t="str">
        <x:v>Negative / RBAC</x:v>
      </x:c>
      <x:c r="I99" s="20" t="str">
        <x:v>High</x:v>
      </x:c>
      <x:c r="J99" s="20" t="str">
        <x:v>Trưởng phòng Nhân sự</x:v>
      </x:c>
      <x:c r="K99" s="20" t="str">
        <x:v>Có phòng ban, dải lương, yêu cầu nháp/chờ duyệt và chuỗi cấp duyệt mẫu.</x:v>
      </x:c>
      <x:c r="L99" s="20" t="str">
        <x:v>REQ-TEST-001; cấp duyệt L1/L2/L3; hạn mức 25 triệu VND</x:v>
      </x:c>
      <x:c r="M99" s="20" t="str">
        <x:v>1. Chuẩn bị dữ liệu: Có phòng ban, dải lương, yêu cầu nháp/chờ duyệt và chuỗi cấp duyệt mẫu.
2. Đăng nhập bằng tài khoản vai trò 'Trưởng phòng Nhân sự' được phép thao tác.
3. Mở chức năng 'quản lý ngân sách headcount theo phòng ban'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99" s="20" t="str">
        <x:v>Khai báo chỉ tiêu headcount và ngân sách lương theo phòng ban theo năm</x:v>
      </x:c>
      <x:c r="O99" s="20" t="str"/>
      <x:c r="P99" s="20" t="str">
        <x:v>Chưa chạy</x:v>
      </x:c>
      <x:c r="Q99" s="20" t="str"/>
      <x:c r="R99" s="20" t="str"/>
      <x:c r="S99" s="26" t="str"/>
      <x:c r="T99" s="20" t="str">
        <x:v>Ưu tiên tự động hóa</x:v>
      </x:c>
      <x:c r="U99" s="20" t="str">
        <x:v>Nguồn: 4. Product Backlog!F34, tiêu chí 1</x:v>
      </x:c>
      <x:c r="V99" s="20" t="str">
        <x:v>S3-04</x:v>
      </x:c>
      <x:c r="W99" s="20" t="str">
        <x:v>Backlog / AC</x:v>
      </x:c>
    </x:row>
    <x:row r="100" ht="92" customHeight="1">
      <x:c r="A100" s="20" t="str">
        <x:v>TC-S3-04-02</x:v>
      </x:c>
      <x:c r="B100" s="20" t="n">
        <x:v>3</x:v>
      </x:c>
      <x:c r="C100" s="20" t="str">
        <x:v>EP-03</x:v>
      </x:c>
      <x:c r="D100" s="20" t="str">
        <x:v>S3-04</x:v>
      </x:c>
      <x:c r="E100" s="20" t="str">
        <x:v>S3-04-AC02</x:v>
      </x:c>
      <x:c r="F100" s="20" t="str">
        <x:v>Yêu cầu &amp; Phê duyệt</x:v>
      </x:c>
      <x:c r="G100" s="20" t="str">
        <x:v>Yêu cầu tuyển dụng mới hiển thị số headcount còn lại của phòng ban</x:v>
      </x:c>
      <x:c r="H100" s="20" t="str">
        <x:v>Functional</x:v>
      </x:c>
      <x:c r="I100" s="20" t="str">
        <x:v>High</x:v>
      </x:c>
      <x:c r="J100" s="20" t="str">
        <x:v>Trưởng phòng Nhân sự</x:v>
      </x:c>
      <x:c r="K100" s="20" t="str">
        <x:v>Có phòng ban, dải lương, yêu cầu nháp/chờ duyệt và chuỗi cấp duyệt mẫu.</x:v>
      </x:c>
      <x:c r="L100" s="20" t="str">
        <x:v>REQ-TEST-001; cấp duyệt L1/L2/L3; hạn mức 25 triệu VND</x:v>
      </x:c>
      <x:c r="M100" s="20" t="str">
        <x:v>1. Chuẩn bị dữ liệu: Có phòng ban, dải lương, yêu cầu nháp/chờ duyệt và chuỗi cấp duyệt mẫu.
2. Đăng nhập bằng tài khoản vai trò 'Trưởng phòng Nhân sự' được phép thao tác.
3. Mở chức năng 'quản lý ngân sách headcount theo phòng ban' trên môi trường staging.
4. Tạo phòng ban quota 3, có 2 người đã nhận việc
5. tạo REQ thêm 1
6. xem headcount còn lại trên form.
7. Ghi kết quả thực tế và đối chiếu tiêu chí S3-04-AC02.</x:v>
      </x:c>
      <x:c r="N100" s="20" t="str">
        <x:v>Yêu cầu tuyển dụng mới hiển thị số headcount còn lại của phòng ban</x:v>
      </x:c>
      <x:c r="O100" s="20" t="str"/>
      <x:c r="P100" s="20" t="str">
        <x:v>Chưa chạy</x:v>
      </x:c>
      <x:c r="Q100" s="20" t="str"/>
      <x:c r="R100" s="20" t="str"/>
      <x:c r="S100" s="26" t="str"/>
      <x:c r="T100" s="20" t="str">
        <x:v>Ưu tiên tự động hóa</x:v>
      </x:c>
      <x:c r="U100" s="20" t="str">
        <x:v>Nguồn: 4. Product Backlog!F34, tiêu chí 2</x:v>
      </x:c>
      <x:c r="V100" s="20" t="str">
        <x:v>S3-04</x:v>
      </x:c>
      <x:c r="W100" s="20" t="str">
        <x:v>Backlog / AC</x:v>
      </x:c>
    </x:row>
    <x:row r="101" ht="92" customHeight="1">
      <x:c r="A101" s="20" t="str">
        <x:v>TC-S3-04-03</x:v>
      </x:c>
      <x:c r="B101" s="20" t="n">
        <x:v>3</x:v>
      </x:c>
      <x:c r="C101" s="20" t="str">
        <x:v>EP-03</x:v>
      </x:c>
      <x:c r="D101" s="20" t="str">
        <x:v>S3-04</x:v>
      </x:c>
      <x:c r="E101" s="20" t="str">
        <x:v>S3-04-AC03</x:v>
      </x:c>
      <x:c r="F101" s="20" t="str">
        <x:v>Yêu cầu &amp; Phê duyệt</x:v>
      </x:c>
      <x:c r="G101" s="20" t="str">
        <x:v>Vượt chỉ tiêu là cảnh báo chặn, cần Trưởng phòng Nhân sự xác nhận ghi đè kèm lý do</x:v>
      </x:c>
      <x:c r="H101" s="20" t="str">
        <x:v>Negative / RBAC</x:v>
      </x:c>
      <x:c r="I101" s="20" t="str">
        <x:v>High</x:v>
      </x:c>
      <x:c r="J101" s="20" t="str">
        <x:v>Trưởng phòng Nhân sự</x:v>
      </x:c>
      <x:c r="K101" s="20" t="str">
        <x:v>Có phòng ban, dải lương, yêu cầu nháp/chờ duyệt và chuỗi cấp duyệt mẫu.</x:v>
      </x:c>
      <x:c r="L101" s="20" t="str">
        <x:v>REQ-TEST-001; cấp duyệt L1/L2/L3; hạn mức 25 triệu VND</x:v>
      </x:c>
      <x:c r="M101" s="20" t="str">
        <x:v>1. Chuẩn bị dữ liệu: Có phòng ban, dải lương, yêu cầu nháp/chờ duyệt và chuỗi cấp duyệt mẫu.
2. Đăng nhập bằng tài khoản vai trò 'Trưởng phòng Nhân sự' được phép thao tác.
3. Mở chức năng 'quản lý ngân sách headcount theo phòng ban'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101" s="20" t="str">
        <x:v>Vượt chỉ tiêu là cảnh báo chặn, cần Trưởng phòng Nhân sự xác nhận ghi đè kèm lý do</x:v>
      </x:c>
      <x:c r="O101" s="20" t="str"/>
      <x:c r="P101" s="20" t="str">
        <x:v>Chưa chạy</x:v>
      </x:c>
      <x:c r="Q101" s="20" t="str"/>
      <x:c r="R101" s="20" t="str"/>
      <x:c r="S101" s="26" t="str"/>
      <x:c r="T101" s="20" t="str">
        <x:v>Ưu tiên tự động hóa</x:v>
      </x:c>
      <x:c r="U101" s="20" t="str">
        <x:v>Nguồn: 4. Product Backlog!F34, tiêu chí 3</x:v>
      </x:c>
      <x:c r="V101" s="20" t="str">
        <x:v>S3-04</x:v>
      </x:c>
      <x:c r="W101" s="20" t="str">
        <x:v>Backlog / AC</x:v>
      </x:c>
    </x:row>
    <x:row r="102" ht="92" customHeight="1">
      <x:c r="A102" s="20" t="str">
        <x:v>TC-S3-04-X01</x:v>
      </x:c>
      <x:c r="B102" s="20" t="n">
        <x:v>3</x:v>
      </x:c>
      <x:c r="C102" s="20" t="str">
        <x:v>EP-03</x:v>
      </x:c>
      <x:c r="D102" s="20" t="str">
        <x:v>S3-04</x:v>
      </x:c>
      <x:c r="E102" s="20" t="str">
        <x:v>QA-EXTRA</x:v>
      </x:c>
      <x:c r="F102" s="20" t="str">
        <x:v>Yêu cầu &amp; Phê duyệt</x:v>
      </x:c>
      <x:c r="G102" s="20" t="str">
        <x:v>Vượt headcount phải có xác nhận và lý do</x:v>
      </x:c>
      <x:c r="H102" s="20" t="str">
        <x:v>Boundary</x:v>
      </x:c>
      <x:c r="I102" s="20" t="str">
        <x:v>High</x:v>
      </x:c>
      <x:c r="J102" s="20" t="str">
        <x:v>Trưởng phòng Nhân sự</x:v>
      </x:c>
      <x:c r="K102" s="20" t="str">
        <x:v>Có phòng ban, dải lương, yêu cầu nháp/chờ duyệt và chuỗi cấp duyệt mẫu.</x:v>
      </x:c>
      <x:c r="L102" s="20" t="str">
        <x:v>Chỉ tiêu còn 0; xin thêm 1</x:v>
      </x:c>
      <x:c r="M102" s="20" t="str">
        <x:v>1. Gửi yêu cầu vượt chỉ tiêu
2. Thử xác nhận không có lý do
3. HR xác nhận kèm lý do</x:v>
      </x:c>
      <x:c r="N102" s="20" t="str">
        <x:v>Bị chặn nếu thiếu quyền/lý do; chỉ ghi đè hợp lệ mới được lưu; có audit</x:v>
      </x:c>
      <x:c r="O102" s="20" t="str"/>
      <x:c r="P102" s="20" t="str">
        <x:v>Chưa chạy</x:v>
      </x:c>
      <x:c r="Q102" s="20" t="str"/>
      <x:c r="R102" s="20" t="str"/>
      <x:c r="S102" s="26" t="str"/>
      <x:c r="T102" s="20" t="str">
        <x:v>Ưu tiên tự động hóa</x:v>
      </x:c>
      <x:c r="U102" s="20" t="str">
        <x:v>Kịch bản rủi ro/biên; nếu vượt yêu cầu backlog, xác nhận PO.</x:v>
      </x:c>
      <x:c r="V102" s="20" t="str">
        <x:v>S3-04</x:v>
      </x:c>
      <x:c r="W102" s="20" t="str">
        <x:v>Bổ sung QA</x:v>
      </x:c>
    </x:row>
    <x:row r="103" ht="92" customHeight="1">
      <x:c r="A103" s="20" t="str">
        <x:v>TC-S3-05-01</x:v>
      </x:c>
      <x:c r="B103" s="20" t="n">
        <x:v>3</x:v>
      </x:c>
      <x:c r="C103" s="20" t="str">
        <x:v>EP-03</x:v>
      </x:c>
      <x:c r="D103" s="20" t="str">
        <x:v>S3-05</x:v>
      </x:c>
      <x:c r="E103" s="20" t="str">
        <x:v>S3-05-AC01</x:v>
      </x:c>
      <x:c r="F103" s="20" t="str">
        <x:v>Yêu cầu &amp; Phê duyệt</x:v>
      </x:c>
      <x:c r="G103" s="20" t="str">
        <x:v>Sao chép toàn bộ mô tả công việc và yêu cầu ứng viên</x:v>
      </x:c>
      <x:c r="H103" s="20" t="str">
        <x:v>Functional</x:v>
      </x:c>
      <x:c r="I103" s="20" t="str">
        <x:v>Medium</x:v>
      </x:c>
      <x:c r="J103" s="20" t="str">
        <x:v>Trưởng bộ phận</x:v>
      </x:c>
      <x:c r="K103" s="20" t="str">
        <x:v>Có phòng ban, dải lương, yêu cầu nháp/chờ duyệt và chuỗi cấp duyệt mẫu.</x:v>
      </x:c>
      <x:c r="L103" s="20" t="str">
        <x:v>REQ-TEST-001; cấp duyệt L1/L2/L3; hạn mức 25 triệu VND</x:v>
      </x:c>
      <x:c r="M103" s="20" t="str">
        <x:v>1. Chuẩn bị dữ liệu: Có phòng ban, dải lương, yêu cầu nháp/chờ duyệt và chuỗi cấp duyệt mẫu.
2. Đăng nhập bằng tài khoản vai trò 'Trưởng bộ phận' được phép thao tác.
3. Mở chức năng 'sao chép một yêu cầu tuyển dụng đã có' trên môi trường staging.
4. Mở REQ đã duyệt có JD
5. bấm Sao chép
6. mở bản sao và so sánh JD/yêu cầu ứng viên với nguồn.
7. Ghi kết quả thực tế và đối chiếu tiêu chí S3-05-AC01.</x:v>
      </x:c>
      <x:c r="N103" s="20" t="str">
        <x:v>Sao chép toàn bộ mô tả công việc và yêu cầu ứng viên</x:v>
      </x:c>
      <x:c r="O103" s="20" t="str"/>
      <x:c r="P103" s="20" t="str">
        <x:v>Chưa chạy</x:v>
      </x:c>
      <x:c r="Q103" s="20" t="str"/>
      <x:c r="R103" s="20" t="str"/>
      <x:c r="S103" s="26" t="str"/>
      <x:c r="T103" s="20" t="str">
        <x:v>Cân nhắc</x:v>
      </x:c>
      <x:c r="U103" s="20" t="str">
        <x:v>Nguồn: 4. Product Backlog!F35, tiêu chí 1</x:v>
      </x:c>
      <x:c r="V103" s="20" t="str">
        <x:v>S3-05</x:v>
      </x:c>
      <x:c r="W103" s="20" t="str">
        <x:v>Backlog / AC</x:v>
      </x:c>
    </x:row>
    <x:row r="104" ht="92" customHeight="1">
      <x:c r="A104" s="20" t="str">
        <x:v>TC-S3-05-02</x:v>
      </x:c>
      <x:c r="B104" s="20" t="n">
        <x:v>3</x:v>
      </x:c>
      <x:c r="C104" s="20" t="str">
        <x:v>EP-03</x:v>
      </x:c>
      <x:c r="D104" s="20" t="str">
        <x:v>S3-05</x:v>
      </x:c>
      <x:c r="E104" s="20" t="str">
        <x:v>S3-05-AC02</x:v>
      </x:c>
      <x:c r="F104" s="20" t="str">
        <x:v>Yêu cầu &amp; Phê duyệt</x:v>
      </x:c>
      <x:c r="G104" s="20" t="str">
        <x:v>Bản sao luôn bắt đầu ở trạng thái Nháp, không kế thừa lịch sử duyệt</x:v>
      </x:c>
      <x:c r="H104" s="20" t="str">
        <x:v>Functional</x:v>
      </x:c>
      <x:c r="I104" s="20" t="str">
        <x:v>Medium</x:v>
      </x:c>
      <x:c r="J104" s="20" t="str">
        <x:v>Trưởng bộ phận</x:v>
      </x:c>
      <x:c r="K104" s="20" t="str">
        <x:v>Có phòng ban, dải lương, yêu cầu nháp/chờ duyệt và chuỗi cấp duyệt mẫu.</x:v>
      </x:c>
      <x:c r="L104" s="20" t="str">
        <x:v>REQ-TEST-001; cấp duyệt L1/L2/L3; hạn mức 25 triệu VND</x:v>
      </x:c>
      <x:c r="M104" s="20" t="str">
        <x:v>1. Chuẩn bị dữ liệu: Có phòng ban, dải lương, yêu cầu nháp/chờ duyệt và chuỗi cấp duyệt mẫu.
2. Đăng nhập bằng tài khoản vai trò 'Trưởng bộ phận' được phép thao tác.
3. Mở chức năng 'sao chép một yêu cầu tuyển dụng đã có' trên môi trường staging.
4. Thực hiện ít nhất hai thao tác ở thời điểm và tài khoản khác nhau; mở lịch sử/nhật ký.
5. Đối chiếu actor, hành động, dấu thời gian và thứ tự sự kiện.</x:v>
      </x:c>
      <x:c r="N104" s="20" t="str">
        <x:v>Bản sao luôn bắt đầu ở trạng thái Nháp, không kế thừa lịch sử duyệt</x:v>
      </x:c>
      <x:c r="O104" s="20" t="str"/>
      <x:c r="P104" s="20" t="str">
        <x:v>Chưa chạy</x:v>
      </x:c>
      <x:c r="Q104" s="20" t="str"/>
      <x:c r="R104" s="20" t="str"/>
      <x:c r="S104" s="26" t="str"/>
      <x:c r="T104" s="20" t="str">
        <x:v>Cân nhắc</x:v>
      </x:c>
      <x:c r="U104" s="20" t="str">
        <x:v>Nguồn: 4. Product Backlog!F35, tiêu chí 2</x:v>
      </x:c>
      <x:c r="V104" s="20" t="str">
        <x:v>S3-05</x:v>
      </x:c>
      <x:c r="W104" s="20" t="str">
        <x:v>Backlog / AC</x:v>
      </x:c>
    </x:row>
    <x:row r="105" ht="92" customHeight="1">
      <x:c r="A105" s="20" t="str">
        <x:v>TC-S3-05-X01</x:v>
      </x:c>
      <x:c r="B105" s="20" t="n">
        <x:v>3</x:v>
      </x:c>
      <x:c r="C105" s="20" t="str">
        <x:v>EP-03</x:v>
      </x:c>
      <x:c r="D105" s="20" t="str">
        <x:v>S3-05</x:v>
      </x:c>
      <x:c r="E105" s="20" t="str">
        <x:v>QA-EXTRA</x:v>
      </x:c>
      <x:c r="F105" s="20" t="str">
        <x:v>Yêu cầu &amp; Phê duyệt</x:v>
      </x:c>
      <x:c r="G105" s="20" t="str">
        <x:v>Bản sao không thừa hưởng token và trạng thái duyệt</x:v>
      </x:c>
      <x:c r="H105" s="20" t="str">
        <x:v>Negative</x:v>
      </x:c>
      <x:c r="I105" s="20" t="str">
        <x:v>Medium</x:v>
      </x:c>
      <x:c r="J105" s="20" t="str">
        <x:v>Trưởng bộ phận</x:v>
      </x:c>
      <x:c r="K105" s="20" t="str">
        <x:v>Có phòng ban, dải lương, yêu cầu nháp/chờ duyệt và chuỗi cấp duyệt mẫu.</x:v>
      </x:c>
      <x:c r="L105" s="20" t="str">
        <x:v>REQ đã duyệt với lịch sử 2 cấp</x:v>
      </x:c>
      <x:c r="M105" s="20" t="str">
        <x:v>1. Sao chép REQ
2. Mở chi tiết bản sao và API
3. So sánh ID/trạng thái/audit</x:v>
      </x:c>
      <x:c r="N105" s="20" t="str">
        <x:v>ID mới, trạng thái Nháp, không có audit phê duyệt bản gốc</x:v>
      </x:c>
      <x:c r="O105" s="20" t="str"/>
      <x:c r="P105" s="20" t="str">
        <x:v>Chưa chạy</x:v>
      </x:c>
      <x:c r="Q105" s="20" t="str"/>
      <x:c r="R105" s="20" t="str"/>
      <x:c r="S105" s="26" t="str"/>
      <x:c r="T105" s="20" t="str">
        <x:v>Cân nhắc</x:v>
      </x:c>
      <x:c r="U105" s="20" t="str">
        <x:v>Kịch bản rủi ro/biên; nếu vượt yêu cầu backlog, xác nhận PO.</x:v>
      </x:c>
      <x:c r="V105" s="20" t="str">
        <x:v>S3-05</x:v>
      </x:c>
      <x:c r="W105" s="20" t="str">
        <x:v>Bổ sung QA</x:v>
      </x:c>
    </x:row>
    <x:row r="106" ht="92" customHeight="1">
      <x:c r="A106" s="20" t="str">
        <x:v>TC-S3-06-01</x:v>
      </x:c>
      <x:c r="B106" s="20" t="n">
        <x:v>3</x:v>
      </x:c>
      <x:c r="C106" s="20" t="str">
        <x:v>EP-03</x:v>
      </x:c>
      <x:c r="D106" s="20" t="str">
        <x:v>S3-06</x:v>
      </x:c>
      <x:c r="E106" s="20" t="str">
        <x:v>S3-06-AC01</x:v>
      </x:c>
      <x:c r="F106" s="20" t="str">
        <x:v>Yêu cầu &amp; Phê duyệt</x:v>
      </x:c>
      <x:c r="G106" s="20" t="str">
        <x:v>Phân công một recruiter chính và nhiều recruiter hỗ trợ</x:v>
      </x:c>
      <x:c r="H106" s="20" t="str">
        <x:v>Functional</x:v>
      </x:c>
      <x:c r="I106" s="20" t="str">
        <x:v>Critical</x:v>
      </x:c>
      <x:c r="J106" s="20" t="str">
        <x:v>Trưởng phòng Nhân sự</x:v>
      </x:c>
      <x:c r="K106" s="20" t="str">
        <x:v>Có phòng ban, dải lương, yêu cầu nháp/chờ duyệt và chuỗi cấp duyệt mẫu.</x:v>
      </x:c>
      <x:c r="L106" s="20" t="str">
        <x:v>REQ-TEST-001; cấp duyệt L1/L2/L3; hạn mức 25 triệu VND</x:v>
      </x:c>
      <x:c r="M106" s="20" t="str">
        <x:v>1. Chuẩn bị dữ liệu: Có phòng ban, dải lương, yêu cầu nháp/chờ duyệt và chuỗi cấp duyệt mẫu.
2. Đăng nhập bằng tài khoản vai trò 'Trưởng phòng Nhân sự' được phép thao tác.
3. Mở chức năng 'phân công recruiter phụ trách một yêu cầu tuyển dụng' trên môi trường staging.
4. HR phân công 1 recruiter chính + 2 hỗ trợ cho REQ
5. mỗi tài khoản đăng nhập và kiểm tra danh sách được giao.
6. Ghi kết quả thực tế và đối chiếu tiêu chí S3-06-AC01.</x:v>
      </x:c>
      <x:c r="N106" s="20" t="str">
        <x:v>Phân công một recruiter chính và nhiều recruiter hỗ trợ</x:v>
      </x:c>
      <x:c r="O106" s="20" t="str"/>
      <x:c r="P106" s="20" t="str">
        <x:v>Chưa chạy</x:v>
      </x:c>
      <x:c r="Q106" s="20" t="str"/>
      <x:c r="R106" s="20" t="str"/>
      <x:c r="S106" s="26" t="str"/>
      <x:c r="T106" s="20" t="str">
        <x:v>Ưu tiên tự động hóa</x:v>
      </x:c>
      <x:c r="U106" s="20" t="str">
        <x:v>Nguồn: 4. Product Backlog!F36, tiêu chí 1</x:v>
      </x:c>
      <x:c r="V106" s="20" t="str">
        <x:v>S3-06</x:v>
      </x:c>
      <x:c r="W106" s="20" t="str">
        <x:v>Backlog / AC</x:v>
      </x:c>
    </x:row>
    <x:row r="107" ht="92" customHeight="1">
      <x:c r="A107" s="20" t="str">
        <x:v>TC-S3-06-02</x:v>
      </x:c>
      <x:c r="B107" s="20" t="n">
        <x:v>3</x:v>
      </x:c>
      <x:c r="C107" s="20" t="str">
        <x:v>EP-03</x:v>
      </x:c>
      <x:c r="D107" s="20" t="str">
        <x:v>S3-06</x:v>
      </x:c>
      <x:c r="E107" s="20" t="str">
        <x:v>S3-06-AC02</x:v>
      </x:c>
      <x:c r="F107" s="20" t="str">
        <x:v>Yêu cầu &amp; Phê duyệt</x:v>
      </x:c>
      <x:c r="G107" s="20" t="str">
        <x:v>Recruiter chỉ nhìn thấy ứng viên của vị trí được giao</x:v>
      </x:c>
      <x:c r="H107" s="20" t="str">
        <x:v>Negative / RBAC</x:v>
      </x:c>
      <x:c r="I107" s="20" t="str">
        <x:v>Critical</x:v>
      </x:c>
      <x:c r="J107" s="20" t="str">
        <x:v>Trưởng phòng Nhân sự</x:v>
      </x:c>
      <x:c r="K107" s="20" t="str">
        <x:v>Có phòng ban, dải lương, yêu cầu nháp/chờ duyệt và chuỗi cấp duyệt mẫu.</x:v>
      </x:c>
      <x:c r="L107" s="20" t="str">
        <x:v>REQ-TEST-001; cấp duyệt L1/L2/L3; hạn mức 25 triệu VND</x:v>
      </x:c>
      <x:c r="M107" s="20" t="str">
        <x:v>1. Chuẩn bị dữ liệu: Có phòng ban, dải lương, yêu cầu nháp/chờ duyệt và chuỗi cấp duyệt mẫu.
2. Đăng nhập bằng tài khoản vai trò 'Trưởng phòng Nhân sự' được phép thao tác.
3. Mở chức năng 'phân công recruiter phụ trách một yêu cầu tuyển dụng'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107" s="20" t="str">
        <x:v>Recruiter chỉ nhìn thấy ứng viên của vị trí được giao</x:v>
      </x:c>
      <x:c r="O107" s="20" t="str"/>
      <x:c r="P107" s="20" t="str">
        <x:v>Chưa chạy</x:v>
      </x:c>
      <x:c r="Q107" s="20" t="str"/>
      <x:c r="R107" s="20" t="str"/>
      <x:c r="S107" s="26" t="str"/>
      <x:c r="T107" s="20" t="str">
        <x:v>Ưu tiên tự động hóa</x:v>
      </x:c>
      <x:c r="U107" s="20" t="str">
        <x:v>Nguồn: 4. Product Backlog!F36, tiêu chí 2</x:v>
      </x:c>
      <x:c r="V107" s="20" t="str">
        <x:v>S3-06</x:v>
      </x:c>
      <x:c r="W107" s="20" t="str">
        <x:v>Backlog / AC</x:v>
      </x:c>
    </x:row>
    <x:row r="108" ht="92" customHeight="1">
      <x:c r="A108" s="20" t="str">
        <x:v>TC-S3-06-03</x:v>
      </x:c>
      <x:c r="B108" s="20" t="n">
        <x:v>3</x:v>
      </x:c>
      <x:c r="C108" s="20" t="str">
        <x:v>EP-03</x:v>
      </x:c>
      <x:c r="D108" s="20" t="str">
        <x:v>S3-06</x:v>
      </x:c>
      <x:c r="E108" s="20" t="str">
        <x:v>S3-06-AC03</x:v>
      </x:c>
      <x:c r="F108" s="20" t="str">
        <x:v>Yêu cầu &amp; Phê duyệt</x:v>
      </x:c>
      <x:c r="G108" s="20" t="str">
        <x:v>Có ghi lịch sử chuyển giao khi đổi người phụ trách</x:v>
      </x:c>
      <x:c r="H108" s="20" t="str">
        <x:v>Functional</x:v>
      </x:c>
      <x:c r="I108" s="20" t="str">
        <x:v>Critical</x:v>
      </x:c>
      <x:c r="J108" s="20" t="str">
        <x:v>Trưởng phòng Nhân sự</x:v>
      </x:c>
      <x:c r="K108" s="20" t="str">
        <x:v>Có phòng ban, dải lương, yêu cầu nháp/chờ duyệt và chuỗi cấp duyệt mẫu.</x:v>
      </x:c>
      <x:c r="L108" s="20" t="str">
        <x:v>REQ-TEST-001; cấp duyệt L1/L2/L3; hạn mức 25 triệu VND</x:v>
      </x:c>
      <x:c r="M108" s="20" t="str">
        <x:v>1. Chuẩn bị dữ liệu: Có phòng ban, dải lương, yêu cầu nháp/chờ duyệt và chuỗi cấp duyệt mẫu.
2. Đăng nhập bằng tài khoản vai trò 'Trưởng phòng Nhân sự' được phép thao tác.
3. Mở chức năng 'phân công recruiter phụ trách một yêu cầu tuyển dụng' trên môi trường staging.
4. Thực hiện ít nhất hai thao tác ở thời điểm và tài khoản khác nhau; mở lịch sử/nhật ký.
5. Đối chiếu actor, hành động, dấu thời gian và thứ tự sự kiện.</x:v>
      </x:c>
      <x:c r="N108" s="20" t="str">
        <x:v>Có ghi lịch sử chuyển giao khi đổi người phụ trách</x:v>
      </x:c>
      <x:c r="O108" s="20" t="str"/>
      <x:c r="P108" s="20" t="str">
        <x:v>Chưa chạy</x:v>
      </x:c>
      <x:c r="Q108" s="20" t="str"/>
      <x:c r="R108" s="20" t="str"/>
      <x:c r="S108" s="26" t="str"/>
      <x:c r="T108" s="20" t="str">
        <x:v>Ưu tiên tự động hóa</x:v>
      </x:c>
      <x:c r="U108" s="20" t="str">
        <x:v>Nguồn: 4. Product Backlog!F36, tiêu chí 3</x:v>
      </x:c>
      <x:c r="V108" s="20" t="str">
        <x:v>S3-06</x:v>
      </x:c>
      <x:c r="W108" s="20" t="str">
        <x:v>Backlog / AC</x:v>
      </x:c>
    </x:row>
    <x:row r="109" ht="92" customHeight="1">
      <x:c r="A109" s="20" t="str">
        <x:v>TC-S3-06-X01</x:v>
      </x:c>
      <x:c r="B109" s="20" t="n">
        <x:v>3</x:v>
      </x:c>
      <x:c r="C109" s="20" t="str">
        <x:v>EP-03</x:v>
      </x:c>
      <x:c r="D109" s="20" t="str">
        <x:v>S3-06</x:v>
      </x:c>
      <x:c r="E109" s="20" t="str">
        <x:v>QA-EXTRA</x:v>
      </x:c>
      <x:c r="F109" s="20" t="str">
        <x:v>Yêu cầu &amp; Phê duyệt</x:v>
      </x:c>
      <x:c r="G109" s="20" t="str">
        <x:v>Thu hồi recruiter phải cắt quyền hồ sơ vị trí cũ</x:v>
      </x:c>
      <x:c r="H109" s="20" t="str">
        <x:v>Security / RBAC</x:v>
      </x:c>
      <x:c r="I109" s="20" t="str">
        <x:v>Critical</x:v>
      </x:c>
      <x:c r="J109" s="20" t="str">
        <x:v>Trưởng phòng Nhân sự</x:v>
      </x:c>
      <x:c r="K109" s="20" t="str">
        <x:v>Có phòng ban, dải lương, yêu cầu nháp/chờ duyệt và chuỗi cấp duyệt mẫu.</x:v>
      </x:c>
      <x:c r="L109" s="20" t="str">
        <x:v>Recruiter A được đổi thành Recruiter B</x:v>
      </x:c>
      <x:c r="M109" s="20" t="str">
        <x:v>1. HR chuyển người chính từ A sang B
2. A gọi API candidate cũ
3. B truy cập hồ sơ</x:v>
      </x:c>
      <x:c r="N109" s="20" t="str">
        <x:v>A mất quyền truy cập vị trí cũ nếu không còn được phân công; B có quyền; có lịch sử bàn giao</x:v>
      </x:c>
      <x:c r="O109" s="20" t="str"/>
      <x:c r="P109" s="20" t="str">
        <x:v>Chưa chạy</x:v>
      </x:c>
      <x:c r="Q109" s="20" t="str"/>
      <x:c r="R109" s="20" t="str"/>
      <x:c r="S109" s="26" t="str"/>
      <x:c r="T109" s="20" t="str">
        <x:v>Ưu tiên tự động hóa</x:v>
      </x:c>
      <x:c r="U109" s="20" t="str">
        <x:v>Kịch bản rủi ro/biên; nếu vượt yêu cầu backlog, xác nhận PO.</x:v>
      </x:c>
      <x:c r="V109" s="20" t="str">
        <x:v>S3-06</x:v>
      </x:c>
      <x:c r="W109" s="20" t="str">
        <x:v>Bổ sung QA</x:v>
      </x:c>
    </x:row>
    <x:row r="110" ht="92" customHeight="1">
      <x:c r="A110" s="20" t="str">
        <x:v>TC-S3-07-01</x:v>
      </x:c>
      <x:c r="B110" s="20" t="n">
        <x:v>3</x:v>
      </x:c>
      <x:c r="C110" s="20" t="str">
        <x:v>EP-03</x:v>
      </x:c>
      <x:c r="D110" s="20" t="str">
        <x:v>S3-07</x:v>
      </x:c>
      <x:c r="E110" s="20" t="str">
        <x:v>S3-07-AC01</x:v>
      </x:c>
      <x:c r="F110" s="20" t="str">
        <x:v>Yêu cầu &amp; Phê duyệt</x:v>
      </x:c>
      <x:c r="G110" s="20" t="str">
        <x:v>Ba trạng thái kết thúc có lý do riêng: Đã tuyển đủ, Tạm dừng, Huỷ</x:v>
      </x:c>
      <x:c r="H110" s="20" t="str">
        <x:v>Functional</x:v>
      </x:c>
      <x:c r="I110" s="20" t="str">
        <x:v>High</x:v>
      </x:c>
      <x:c r="J110" s="20" t="str">
        <x:v>Trưởng phòng Nhân sự</x:v>
      </x:c>
      <x:c r="K110" s="20" t="str">
        <x:v>Có phòng ban, dải lương, yêu cầu nháp/chờ duyệt và chuỗi cấp duyệt mẫu.</x:v>
      </x:c>
      <x:c r="L110" s="20" t="str">
        <x:v>REQ-TEST-001; cấp duyệt L1/L2/L3; hạn mức 25 triệu VND</x:v>
      </x:c>
      <x:c r="M110" s="20" t="str">
        <x:v>1. Chuẩn bị dữ liệu: Có phòng ban, dải lương, yêu cầu nháp/chờ duyệt và chuỗi cấp duyệt mẫu.
2. Đăng nhập bằng tài khoản vai trò 'Trưởng phòng Nhân sự' được phép thao tác.
3. Mở chức năng 'tạm dừng, đóng hoặc huỷ một yêu cầu tuyển dụng' trên môi trường staging.
4. Với 3 REQ độc lập, lần lượt chọn Đã tuyển đủ/Tạm dừng/Huỷ, điền lý do và xem trạng thái/audit.
5. Ghi kết quả thực tế và đối chiếu tiêu chí S3-07-AC01.</x:v>
      </x:c>
      <x:c r="N110" s="20" t="str">
        <x:v>Ba trạng thái kết thúc có lý do riêng: Đã tuyển đủ, Tạm dừng, Huỷ</x:v>
      </x:c>
      <x:c r="O110" s="20" t="str"/>
      <x:c r="P110" s="20" t="str">
        <x:v>Chưa chạy</x:v>
      </x:c>
      <x:c r="Q110" s="20" t="str"/>
      <x:c r="R110" s="20" t="str"/>
      <x:c r="S110" s="26" t="str"/>
      <x:c r="T110" s="20" t="str">
        <x:v>Ưu tiên tự động hóa</x:v>
      </x:c>
      <x:c r="U110" s="20" t="str">
        <x:v>Nguồn: 4. Product Backlog!F37, tiêu chí 1</x:v>
      </x:c>
      <x:c r="V110" s="20" t="str">
        <x:v>S3-07</x:v>
      </x:c>
      <x:c r="W110" s="20" t="str">
        <x:v>Backlog / AC</x:v>
      </x:c>
    </x:row>
    <x:row r="111" ht="92" customHeight="1">
      <x:c r="A111" s="20" t="str">
        <x:v>TC-S3-07-02</x:v>
      </x:c>
      <x:c r="B111" s="20" t="n">
        <x:v>3</x:v>
      </x:c>
      <x:c r="C111" s="20" t="str">
        <x:v>EP-03</x:v>
      </x:c>
      <x:c r="D111" s="20" t="str">
        <x:v>S3-07</x:v>
      </x:c>
      <x:c r="E111" s="20" t="str">
        <x:v>S3-07-AC02</x:v>
      </x:c>
      <x:c r="F111" s="20" t="str">
        <x:v>Yêu cầu &amp; Phê duyệt</x:v>
      </x:c>
      <x:c r="G111" s="20" t="str">
        <x:v>Đóng yêu cầu tự động gỡ tin tuyển dụng đang đăng</x:v>
      </x:c>
      <x:c r="H111" s="20" t="str">
        <x:v>Functional</x:v>
      </x:c>
      <x:c r="I111" s="20" t="str">
        <x:v>High</x:v>
      </x:c>
      <x:c r="J111" s="20" t="str">
        <x:v>Trưởng phòng Nhân sự</x:v>
      </x:c>
      <x:c r="K111" s="20" t="str">
        <x:v>Có phòng ban, dải lương, yêu cầu nháp/chờ duyệt và chuỗi cấp duyệt mẫu.</x:v>
      </x:c>
      <x:c r="L111" s="20" t="str">
        <x:v>REQ-TEST-001; cấp duyệt L1/L2/L3; hạn mức 25 triệu VND</x:v>
      </x:c>
      <x:c r="M111" s="20" t="str">
        <x:v>1. Chuẩn bị dữ liệu: Có phòng ban, dải lương, yêu cầu nháp/chờ duyệt và chuỗi cấp duyệt mẫu.
2. Đăng nhập bằng tài khoản vai trò 'Trưởng phòng Nhân sự' được phép thao tác.
3. Mở chức năng 'tạm dừng, đóng hoặc huỷ một yêu cầu tuyển dụng' trên môi trường staging.
4. Xuất bản tin gắn REQ
5. HR đóng REQ
6. làm mới trang việc làm công khai và thử API apply.
7. Ghi kết quả thực tế và đối chiếu tiêu chí S3-07-AC02.</x:v>
      </x:c>
      <x:c r="N111" s="20" t="str">
        <x:v>Đóng yêu cầu tự động gỡ tin tuyển dụng đang đăng</x:v>
      </x:c>
      <x:c r="O111" s="20" t="str"/>
      <x:c r="P111" s="20" t="str">
        <x:v>Chưa chạy</x:v>
      </x:c>
      <x:c r="Q111" s="20" t="str"/>
      <x:c r="R111" s="20" t="str"/>
      <x:c r="S111" s="26" t="str"/>
      <x:c r="T111" s="20" t="str">
        <x:v>Ưu tiên tự động hóa</x:v>
      </x:c>
      <x:c r="U111" s="20" t="str">
        <x:v>Nguồn: 4. Product Backlog!F37, tiêu chí 2</x:v>
      </x:c>
      <x:c r="V111" s="20" t="str">
        <x:v>S3-07</x:v>
      </x:c>
      <x:c r="W111" s="20" t="str">
        <x:v>Backlog / AC</x:v>
      </x:c>
    </x:row>
    <x:row r="112" ht="92" customHeight="1">
      <x:c r="A112" s="20" t="str">
        <x:v>TC-S3-07-03</x:v>
      </x:c>
      <x:c r="B112" s="20" t="n">
        <x:v>3</x:v>
      </x:c>
      <x:c r="C112" s="20" t="str">
        <x:v>EP-03</x:v>
      </x:c>
      <x:c r="D112" s="20" t="str">
        <x:v>S3-07</x:v>
      </x:c>
      <x:c r="E112" s="20" t="str">
        <x:v>S3-07-AC03</x:v>
      </x:c>
      <x:c r="F112" s="20" t="str">
        <x:v>Yêu cầu &amp; Phê duyệt</x:v>
      </x:c>
      <x:c r="G112" s="20" t="str">
        <x:v>Ứng viên còn đang trong pipeline được cảnh báo cần xử lý trước khi đóng</x:v>
      </x:c>
      <x:c r="H112" s="20" t="str">
        <x:v>Functional</x:v>
      </x:c>
      <x:c r="I112" s="20" t="str">
        <x:v>High</x:v>
      </x:c>
      <x:c r="J112" s="20" t="str">
        <x:v>Trưởng phòng Nhân sự</x:v>
      </x:c>
      <x:c r="K112" s="20" t="str">
        <x:v>Có phòng ban, dải lương, yêu cầu nháp/chờ duyệt và chuỗi cấp duyệt mẫu.</x:v>
      </x:c>
      <x:c r="L112" s="20" t="str">
        <x:v>REQ-TEST-001; cấp duyệt L1/L2/L3; hạn mức 25 triệu VND</x:v>
      </x:c>
      <x:c r="M112" s="20" t="str">
        <x:v>1. Chuẩn bị dữ liệu: Có phòng ban, dải lương, yêu cầu nháp/chờ duyệt và chuỗi cấp duyệt mẫu.
2. Đăng nhập bằng tài khoản vai trò 'Trưởng phòng Nhân sự' được phép thao tác.
3. Mở chức năng 'tạm dừng, đóng hoặc huỷ một yêu cầu tuyển dụng' trên môi trường staging.
4. Tạo 2 ứng viên trong pipeline REQ
5. bấm Đóng
6. đối chiếu danh sách hồ sơ cần xử lý/cảnh báo trước xác nhận.
7. Ghi kết quả thực tế và đối chiếu tiêu chí S3-07-AC03.</x:v>
      </x:c>
      <x:c r="N112" s="20" t="str">
        <x:v>Ứng viên còn đang trong pipeline được cảnh báo cần xử lý trước khi đóng</x:v>
      </x:c>
      <x:c r="O112" s="20" t="str"/>
      <x:c r="P112" s="20" t="str">
        <x:v>Chưa chạy</x:v>
      </x:c>
      <x:c r="Q112" s="20" t="str"/>
      <x:c r="R112" s="20" t="str"/>
      <x:c r="S112" s="26" t="str"/>
      <x:c r="T112" s="20" t="str">
        <x:v>Ưu tiên tự động hóa</x:v>
      </x:c>
      <x:c r="U112" s="20" t="str">
        <x:v>Nguồn: 4. Product Backlog!F37, tiêu chí 3</x:v>
      </x:c>
      <x:c r="V112" s="20" t="str">
        <x:v>S3-07</x:v>
      </x:c>
      <x:c r="W112" s="20" t="str">
        <x:v>Backlog / AC</x:v>
      </x:c>
    </x:row>
    <x:row r="113" ht="92" customHeight="1">
      <x:c r="A113" s="20" t="str">
        <x:v>TC-S3-07-X01</x:v>
      </x:c>
      <x:c r="B113" s="20" t="n">
        <x:v>3</x:v>
      </x:c>
      <x:c r="C113" s="20" t="str">
        <x:v>EP-03</x:v>
      </x:c>
      <x:c r="D113" s="20" t="str">
        <x:v>S3-07</x:v>
      </x:c>
      <x:c r="E113" s="20" t="str">
        <x:v>QA-EXTRA</x:v>
      </x:c>
      <x:c r="F113" s="20" t="str">
        <x:v>Yêu cầu &amp; Phê duyệt</x:v>
      </x:c>
      <x:c r="G113" s="20" t="str">
        <x:v>Đóng requisition có ứng viên còn hoạt động</x:v>
      </x:c>
      <x:c r="H113" s="20" t="str">
        <x:v>Integration</x:v>
      </x:c>
      <x:c r="I113" s="20" t="str">
        <x:v>High</x:v>
      </x:c>
      <x:c r="J113" s="20" t="str">
        <x:v>Trưởng phòng Nhân sự</x:v>
      </x:c>
      <x:c r="K113" s="20" t="str">
        <x:v>Có phòng ban, dải lương, yêu cầu nháp/chờ duyệt và chuỗi cấp duyệt mẫu.</x:v>
      </x:c>
      <x:c r="L113" s="20" t="str">
        <x:v>REQ đang có 3 ứng viên pipeline và 1 tin công khai</x:v>
      </x:c>
      <x:c r="M113" s="20" t="str">
        <x:v>1. Chọn Đóng
2. Quan sát cảnh báo
3. Xác nhận theo quy trình
4. Kiểm tra tin công khai</x:v>
      </x:c>
      <x:c r="N113" s="20" t="str">
        <x:v>Cảnh báo đầy đủ; tin bị gỡ; không nhận hồ sơ mới; dữ liệu ứng viên cũ được giữ</x:v>
      </x:c>
      <x:c r="O113" s="20" t="str"/>
      <x:c r="P113" s="20" t="str">
        <x:v>Chưa chạy</x:v>
      </x:c>
      <x:c r="Q113" s="20" t="str"/>
      <x:c r="R113" s="20" t="str"/>
      <x:c r="S113" s="26" t="str"/>
      <x:c r="T113" s="20" t="str">
        <x:v>Ưu tiên tự động hóa</x:v>
      </x:c>
      <x:c r="U113" s="20" t="str">
        <x:v>Kịch bản rủi ro/biên; nếu vượt yêu cầu backlog, xác nhận PO.</x:v>
      </x:c>
      <x:c r="V113" s="20" t="str">
        <x:v>S3-07</x:v>
      </x:c>
      <x:c r="W113" s="20" t="str">
        <x:v>Bổ sung QA</x:v>
      </x:c>
    </x:row>
    <x:row r="114" ht="92" customHeight="1">
      <x:c r="A114" s="20" t="str">
        <x:v>TC-S3-08-01</x:v>
      </x:c>
      <x:c r="B114" s="20" t="n">
        <x:v>3</x:v>
      </x:c>
      <x:c r="C114" s="20" t="str">
        <x:v>EP-03</x:v>
      </x:c>
      <x:c r="D114" s="20" t="str">
        <x:v>S3-08</x:v>
      </x:c>
      <x:c r="E114" s="20" t="str">
        <x:v>S3-08-AC01</x:v>
      </x:c>
      <x:c r="F114" s="20" t="str">
        <x:v>Yêu cầu &amp; Phê duyệt</x:v>
      </x:c>
      <x:c r="G114" s="20" t="str">
        <x:v>Lọc theo trạng thái, phòng ban, recruiter phụ trách, khoảng thời gian</x:v>
      </x:c>
      <x:c r="H114" s="20" t="str">
        <x:v>Functional</x:v>
      </x:c>
      <x:c r="I114" s="20" t="str">
        <x:v>High</x:v>
      </x:c>
      <x:c r="J114" s="20" t="str">
        <x:v>Trưởng phòng Nhân sự</x:v>
      </x:c>
      <x:c r="K114" s="20" t="str">
        <x:v>Có phòng ban, dải lương, yêu cầu nháp/chờ duyệt và chuỗi cấp duyệt mẫu.</x:v>
      </x:c>
      <x:c r="L114" s="20" t="str">
        <x:v>REQ-TEST-001; cấp duyệt L1/L2/L3; hạn mức 25 triệu VND</x:v>
      </x:c>
      <x:c r="M114" s="20" t="str">
        <x:v>1. Chuẩn bị dữ liệu: Có phòng ban, dải lương, yêu cầu nháp/chờ duyệt và chuỗi cấp duyệt mẫu.
2. Đăng nhập bằng tài khoản vai trò 'Trưởng phòng Nhân sự' được phép thao tác.
3. Mở chức năng 'xem danh sách yêu cầu tuyển dụng kèm bộ lọc và cảnh báo trễ hạn' trên môi trường staging.
4. Tạo dữ liệu đối chứng thuộc và không thuộc điều kiện; áp dụng bộ lọc/tìm kiếm/sắp xếp tương ứng.
5. Đối chiếu danh sách/kết quả tổng hợp với dữ liệu gốc.</x:v>
      </x:c>
      <x:c r="N114" s="20" t="str">
        <x:v>Lọc theo trạng thái, phòng ban, recruiter phụ trách, khoảng thời gian</x:v>
      </x:c>
      <x:c r="O114" s="20" t="str"/>
      <x:c r="P114" s="20" t="str">
        <x:v>Chưa chạy</x:v>
      </x:c>
      <x:c r="Q114" s="20" t="str"/>
      <x:c r="R114" s="20" t="str"/>
      <x:c r="S114" s="26" t="str"/>
      <x:c r="T114" s="20" t="str">
        <x:v>Ưu tiên tự động hóa</x:v>
      </x:c>
      <x:c r="U114" s="20" t="str">
        <x:v>Nguồn: 4. Product Backlog!F38, tiêu chí 1</x:v>
      </x:c>
      <x:c r="V114" s="20" t="str">
        <x:v>S3-08</x:v>
      </x:c>
      <x:c r="W114" s="20" t="str">
        <x:v>Backlog / AC</x:v>
      </x:c>
    </x:row>
    <x:row r="115" ht="92" customHeight="1">
      <x:c r="A115" s="20" t="str">
        <x:v>TC-S3-08-02</x:v>
      </x:c>
      <x:c r="B115" s="20" t="n">
        <x:v>3</x:v>
      </x:c>
      <x:c r="C115" s="20" t="str">
        <x:v>EP-03</x:v>
      </x:c>
      <x:c r="D115" s="20" t="str">
        <x:v>S3-08</x:v>
      </x:c>
      <x:c r="E115" s="20" t="str">
        <x:v>S3-08-AC02</x:v>
      </x:c>
      <x:c r="F115" s="20" t="str">
        <x:v>Yêu cầu &amp; Phê duyệt</x:v>
      </x:c>
      <x:c r="G115" s="20" t="str">
        <x:v>Mỗi dòng hiển thị số ngày mở và số ngày còn lại tới ngày cần người</x:v>
      </x:c>
      <x:c r="H115" s="20" t="str">
        <x:v>Functional</x:v>
      </x:c>
      <x:c r="I115" s="20" t="str">
        <x:v>High</x:v>
      </x:c>
      <x:c r="J115" s="20" t="str">
        <x:v>Trưởng phòng Nhân sự</x:v>
      </x:c>
      <x:c r="K115" s="20" t="str">
        <x:v>Có phòng ban, dải lương, yêu cầu nháp/chờ duyệt và chuỗi cấp duyệt mẫu.</x:v>
      </x:c>
      <x:c r="L115" s="20" t="str">
        <x:v>REQ-TEST-001; cấp duyệt L1/L2/L3; hạn mức 25 triệu VND</x:v>
      </x:c>
      <x:c r="M115" s="20" t="str">
        <x:v>1. Chuẩn bị dữ liệu: Có phòng ban, dải lương, yêu cầu nháp/chờ duyệt và chuỗi cấp duyệt mẫu.
2. Đăng nhập bằng tài khoản vai trò 'Trưởng phòng Nhân sự' được phép thao tác.
3. Mở chức năng 'xem danh sách yêu cầu tuyển dụng kèm bộ lọc và cảnh báo trễ hạn' trên môi trường staging.
4. Seed REQ mở 3/7 ngày và ngày cần người cách 5/1 ngày
5. mở danh sách và so sánh phép tính ngày.
6. Ghi kết quả thực tế và đối chiếu tiêu chí S3-08-AC02.</x:v>
      </x:c>
      <x:c r="N115" s="20" t="str">
        <x:v>Mỗi dòng hiển thị số ngày mở và số ngày còn lại tới ngày cần người</x:v>
      </x:c>
      <x:c r="O115" s="20" t="str"/>
      <x:c r="P115" s="20" t="str">
        <x:v>Chưa chạy</x:v>
      </x:c>
      <x:c r="Q115" s="20" t="str"/>
      <x:c r="R115" s="20" t="str"/>
      <x:c r="S115" s="26" t="str"/>
      <x:c r="T115" s="20" t="str">
        <x:v>Ưu tiên tự động hóa</x:v>
      </x:c>
      <x:c r="U115" s="20" t="str">
        <x:v>Nguồn: 4. Product Backlog!F38, tiêu chí 2</x:v>
      </x:c>
      <x:c r="V115" s="20" t="str">
        <x:v>S3-08</x:v>
      </x:c>
      <x:c r="W115" s="20" t="str">
        <x:v>Backlog / AC</x:v>
      </x:c>
    </x:row>
    <x:row r="116" ht="92" customHeight="1">
      <x:c r="A116" s="20" t="str">
        <x:v>TC-S3-08-03</x:v>
      </x:c>
      <x:c r="B116" s="20" t="n">
        <x:v>3</x:v>
      </x:c>
      <x:c r="C116" s="20" t="str">
        <x:v>EP-03</x:v>
      </x:c>
      <x:c r="D116" s="20" t="str">
        <x:v>S3-08</x:v>
      </x:c>
      <x:c r="E116" s="20" t="str">
        <x:v>S3-08-AC03</x:v>
      </x:c>
      <x:c r="F116" s="20" t="str">
        <x:v>Yêu cầu &amp; Phê duyệt</x:v>
      </x:c>
      <x:c r="G116" s="20" t="str">
        <x:v>Yêu cầu quá ngày cần người được đánh dấu nổi bật</x:v>
      </x:c>
      <x:c r="H116" s="20" t="str">
        <x:v>Functional</x:v>
      </x:c>
      <x:c r="I116" s="20" t="str">
        <x:v>High</x:v>
      </x:c>
      <x:c r="J116" s="20" t="str">
        <x:v>Trưởng phòng Nhân sự</x:v>
      </x:c>
      <x:c r="K116" s="20" t="str">
        <x:v>Có phòng ban, dải lương, yêu cầu nháp/chờ duyệt và chuỗi cấp duyệt mẫu.</x:v>
      </x:c>
      <x:c r="L116" s="20" t="str">
        <x:v>REQ-TEST-001; cấp duyệt L1/L2/L3; hạn mức 25 triệu VND</x:v>
      </x:c>
      <x:c r="M116" s="20" t="str">
        <x:v>1. Chuẩn bị dữ liệu: Có phòng ban, dải lương, yêu cầu nháp/chờ duyệt và chuỗi cấp duyệt mẫu.
2. Đăng nhập bằng tài khoản vai trò 'Trưởng phòng Nhân sự' được phép thao tác.
3. Mở chức năng 'xem danh sách yêu cầu tuyển dụng kèm bộ lọc và cảnh báo trễ hạn' trên môi trường staging.
4. Seed REQ quá hạn một ngày và REQ đúng hạn
5. mở danh sách, lọc quá hạn và kiểm tra badge/cảnh báo.
6. Ghi kết quả thực tế và đối chiếu tiêu chí S3-08-AC03.</x:v>
      </x:c>
      <x:c r="N116" s="20" t="str">
        <x:v>Yêu cầu quá ngày cần người được đánh dấu nổi bật</x:v>
      </x:c>
      <x:c r="O116" s="20" t="str"/>
      <x:c r="P116" s="20" t="str">
        <x:v>Chưa chạy</x:v>
      </x:c>
      <x:c r="Q116" s="20" t="str"/>
      <x:c r="R116" s="20" t="str"/>
      <x:c r="S116" s="26" t="str"/>
      <x:c r="T116" s="20" t="str">
        <x:v>Ưu tiên tự động hóa</x:v>
      </x:c>
      <x:c r="U116" s="20" t="str">
        <x:v>Nguồn: 4. Product Backlog!F38, tiêu chí 3</x:v>
      </x:c>
      <x:c r="V116" s="20" t="str">
        <x:v>S3-08</x:v>
      </x:c>
      <x:c r="W116" s="20" t="str">
        <x:v>Backlog / AC</x:v>
      </x:c>
    </x:row>
    <x:row r="117" ht="92" customHeight="1">
      <x:c r="A117" s="20" t="str">
        <x:v>TC-S3-08-X01</x:v>
      </x:c>
      <x:c r="B117" s="20" t="n">
        <x:v>3</x:v>
      </x:c>
      <x:c r="C117" s="20" t="str">
        <x:v>EP-03</x:v>
      </x:c>
      <x:c r="D117" s="20" t="str">
        <x:v>S3-08</x:v>
      </x:c>
      <x:c r="E117" s="20" t="str">
        <x:v>QA-EXTRA</x:v>
      </x:c>
      <x:c r="F117" s="20" t="str">
        <x:v>Yêu cầu &amp; Phê duyệt</x:v>
      </x:c>
      <x:c r="G117" s="20" t="str">
        <x:v>Ngày cần người đúng hôm nay không bị tính trễ sai</x:v>
      </x:c>
      <x:c r="H117" s="20" t="str">
        <x:v>Boundary</x:v>
      </x:c>
      <x:c r="I117" s="20" t="str">
        <x:v>High</x:v>
      </x:c>
      <x:c r="J117" s="20" t="str">
        <x:v>Trưởng phòng Nhân sự</x:v>
      </x:c>
      <x:c r="K117" s="20" t="str">
        <x:v>Có phòng ban, dải lương, yêu cầu nháp/chờ duyệt và chuỗi cấp duyệt mẫu.</x:v>
      </x:c>
      <x:c r="L117" s="20" t="str">
        <x:v>REQ ngày cần người hôm nay và hôm qua</x:v>
      </x:c>
      <x:c r="M117" s="20" t="str">
        <x:v>1. Tạo 2 REQ
2. Mở danh sách với múi giờ Việt Nam
3. Kiểm tra số ngày</x:v>
      </x:c>
      <x:c r="N117" s="20" t="str">
        <x:v>REQ hôm nay còn 0 ngày; REQ hôm qua được đánh dấu trễ; không lệch do UTC</x:v>
      </x:c>
      <x:c r="O117" s="20" t="str"/>
      <x:c r="P117" s="20" t="str">
        <x:v>Chưa chạy</x:v>
      </x:c>
      <x:c r="Q117" s="20" t="str"/>
      <x:c r="R117" s="20" t="str"/>
      <x:c r="S117" s="26" t="str"/>
      <x:c r="T117" s="20" t="str">
        <x:v>Ưu tiên tự động hóa</x:v>
      </x:c>
      <x:c r="U117" s="20" t="str">
        <x:v>Kịch bản rủi ro/biên; nếu vượt yêu cầu backlog, xác nhận PO.</x:v>
      </x:c>
      <x:c r="V117" s="20" t="str">
        <x:v>S3-08</x:v>
      </x:c>
      <x:c r="W117" s="20" t="str">
        <x:v>Bổ sung QA</x:v>
      </x:c>
    </x:row>
    <x:row r="118" ht="92" customHeight="1">
      <x:c r="A118" s="20" t="str">
        <x:v>TC-S3-09-01</x:v>
      </x:c>
      <x:c r="B118" s="20" t="n">
        <x:v>3</x:v>
      </x:c>
      <x:c r="C118" s="20" t="str">
        <x:v>EP-04</x:v>
      </x:c>
      <x:c r="D118" s="20" t="str">
        <x:v>S3-09</x:v>
      </x:c>
      <x:c r="E118" s="20" t="str">
        <x:v>S3-09-AC01</x:v>
      </x:c>
      <x:c r="F118" s="20" t="str">
        <x:v>Đăng tin &amp; Ứng tuyển</x:v>
      </x:c>
      <x:c r="G118" s="20" t="str">
        <x:v>Nội dung mô tả công việc được kế thừa từ yêu cầu, sửa lại được cho phù hợp ngôn ngữ tuyển dụng</x:v>
      </x:c>
      <x:c r="H118" s="20" t="str">
        <x:v>Functional</x:v>
      </x:c>
      <x:c r="I118" s="20" t="str">
        <x:v>High</x:v>
      </x:c>
      <x:c r="J118" s="20" t="str">
        <x:v>Nhân viên tuyển dụng</x:v>
      </x:c>
      <x:c r="K118" s="20" t="str">
        <x:v>Có phòng ban, dải lương, yêu cầu nháp/chờ duyệt và chuỗi cấp duyệt mẫu.</x:v>
      </x:c>
      <x:c r="L118" s="20" t="str">
        <x:v>REQ-TEST-001; cấp duyệt L1/L2/L3; hạn mức 25 triệu VND</x:v>
      </x:c>
      <x:c r="M118" s="20" t="str">
        <x:v>1. Chuẩn bị dữ liệu: Có phòng ban, dải lương, yêu cầu nháp/chờ duyệt và chuỗi cấp duyệt mẫu.
2. Đăng nhập bằng tài khoản vai trò 'Nhân viên tuyển dụng' được phép thao tác.
3. Mở chức năng 'soạn tin tuyển dụng từ một yêu cầu đã được duyệt' trên môi trường staging.
4. Mở REQ đã duyệt có JD
5. tạo tin từ REQ
6. sửa đoạn tiêu đề nhưng không sửa REQ
7. reload cả hai bản.
8. Ghi kết quả thực tế và đối chiếu tiêu chí S3-09-AC01.</x:v>
      </x:c>
      <x:c r="N118" s="20" t="str">
        <x:v>Nội dung mô tả công việc được kế thừa từ yêu cầu, sửa lại được cho phù hợp ngôn ngữ tuyển dụng</x:v>
      </x:c>
      <x:c r="O118" s="20" t="str"/>
      <x:c r="P118" s="20" t="str">
        <x:v>Chưa chạy</x:v>
      </x:c>
      <x:c r="Q118" s="20" t="str"/>
      <x:c r="R118" s="20" t="str"/>
      <x:c r="S118" s="26" t="str"/>
      <x:c r="T118" s="20" t="str">
        <x:v>Ưu tiên tự động hóa</x:v>
      </x:c>
      <x:c r="U118" s="20" t="str">
        <x:v>Nguồn: 4. Product Backlog!F39, tiêu chí 1</x:v>
      </x:c>
      <x:c r="V118" s="20" t="str">
        <x:v>S3-09</x:v>
      </x:c>
      <x:c r="W118" s="20" t="str">
        <x:v>Backlog / AC</x:v>
      </x:c>
    </x:row>
    <x:row r="119" ht="92" customHeight="1">
      <x:c r="A119" s="20" t="str">
        <x:v>TC-S3-09-02</x:v>
      </x:c>
      <x:c r="B119" s="20" t="n">
        <x:v>3</x:v>
      </x:c>
      <x:c r="C119" s="20" t="str">
        <x:v>EP-04</x:v>
      </x:c>
      <x:c r="D119" s="20" t="str">
        <x:v>S3-09</x:v>
      </x:c>
      <x:c r="E119" s="20" t="str">
        <x:v>S3-09-AC02</x:v>
      </x:c>
      <x:c r="F119" s="20" t="str">
        <x:v>Đăng tin &amp; Ứng tuyển</x:v>
      </x:c>
      <x:c r="G119" s="20" t="str">
        <x:v>Khai báo địa điểm, hình thức làm việc, hạn nhận hồ sơ, có hiển thị mức lương hay không</x:v>
      </x:c>
      <x:c r="H119" s="20" t="str">
        <x:v>Functional</x:v>
      </x:c>
      <x:c r="I119" s="20" t="str">
        <x:v>High</x:v>
      </x:c>
      <x:c r="J119" s="20" t="str">
        <x:v>Nhân viên tuyển dụng</x:v>
      </x:c>
      <x:c r="K119" s="20" t="str">
        <x:v>Có phòng ban, dải lương, yêu cầu nháp/chờ duyệt và chuỗi cấp duyệt mẫu.</x:v>
      </x:c>
      <x:c r="L119" s="20" t="str">
        <x:v>REQ-TEST-001; cấp duyệt L1/L2/L3; hạn mức 25 triệu VND</x:v>
      </x:c>
      <x:c r="M119" s="20" t="str">
        <x:v>1. Chuẩn bị dữ liệu: Có phòng ban, dải lương, yêu cầu nháp/chờ duyệt và chuỗi cấp duyệt mẫu.
2. Đăng nhập bằng tài khoản vai trò 'Nhân viên tuyển dụng' được phép thao tác.
3. Mở chức năng 'soạn tin tuyển dụng từ một yêu cầu đã được duyệt' trên môi trường staging.
4. Tạo tin địa điểm Hà Nội, hybrid, hết hạn 15/10
5. bật/tắt công khai lương
6. mở preview.
7. Ghi kết quả thực tế và đối chiếu tiêu chí S3-09-AC02.</x:v>
      </x:c>
      <x:c r="N119" s="20" t="str">
        <x:v>Khai báo địa điểm, hình thức làm việc, hạn nhận hồ sơ, có hiển thị mức lương hay không</x:v>
      </x:c>
      <x:c r="O119" s="20" t="str"/>
      <x:c r="P119" s="20" t="str">
        <x:v>Chưa chạy</x:v>
      </x:c>
      <x:c r="Q119" s="20" t="str"/>
      <x:c r="R119" s="20" t="str"/>
      <x:c r="S119" s="26" t="str"/>
      <x:c r="T119" s="20" t="str">
        <x:v>Ưu tiên tự động hóa</x:v>
      </x:c>
      <x:c r="U119" s="20" t="str">
        <x:v>Nguồn: 4. Product Backlog!F39, tiêu chí 2</x:v>
      </x:c>
      <x:c r="V119" s="20" t="str">
        <x:v>S3-09</x:v>
      </x:c>
      <x:c r="W119" s="20" t="str">
        <x:v>Backlog / AC</x:v>
      </x:c>
    </x:row>
    <x:row r="120" ht="92" customHeight="1">
      <x:c r="A120" s="20" t="str">
        <x:v>TC-S3-09-03</x:v>
      </x:c>
      <x:c r="B120" s="20" t="n">
        <x:v>3</x:v>
      </x:c>
      <x:c r="C120" s="20" t="str">
        <x:v>EP-04</x:v>
      </x:c>
      <x:c r="D120" s="20" t="str">
        <x:v>S3-09</x:v>
      </x:c>
      <x:c r="E120" s="20" t="str">
        <x:v>S3-09-AC03</x:v>
      </x:c>
      <x:c r="F120" s="20" t="str">
        <x:v>Đăng tin &amp; Ứng tuyển</x:v>
      </x:c>
      <x:c r="G120" s="20" t="str">
        <x:v>Chỉ yêu cầu ở trạng thái Đã duyệt mới tạo được tin</x:v>
      </x:c>
      <x:c r="H120" s="20" t="str">
        <x:v>Negative / RBAC</x:v>
      </x:c>
      <x:c r="I120" s="20" t="str">
        <x:v>High</x:v>
      </x:c>
      <x:c r="J120" s="20" t="str">
        <x:v>Nhân viên tuyển dụng</x:v>
      </x:c>
      <x:c r="K120" s="20" t="str">
        <x:v>Có phòng ban, dải lương, yêu cầu nháp/chờ duyệt và chuỗi cấp duyệt mẫu.</x:v>
      </x:c>
      <x:c r="L120" s="20" t="str">
        <x:v>REQ-TEST-001; cấp duyệt L1/L2/L3; hạn mức 25 triệu VND</x:v>
      </x:c>
      <x:c r="M120" s="20" t="str">
        <x:v>1. Chuẩn bị dữ liệu: Có phòng ban, dải lương, yêu cầu nháp/chờ duyệt và chuỗi cấp duyệt mẫu.
2. Đăng nhập bằng tài khoản vai trò 'Nhân viên tuyển dụng' được phép thao tác.
3. Mở chức năng 'soạn tin tuyển dụng từ một yêu cầu đã được duyệt'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120" s="20" t="str">
        <x:v>Chỉ yêu cầu ở trạng thái Đã duyệt mới tạo được tin</x:v>
      </x:c>
      <x:c r="O120" s="20" t="str"/>
      <x:c r="P120" s="20" t="str">
        <x:v>Chưa chạy</x:v>
      </x:c>
      <x:c r="Q120" s="20" t="str"/>
      <x:c r="R120" s="20" t="str"/>
      <x:c r="S120" s="26" t="str"/>
      <x:c r="T120" s="20" t="str">
        <x:v>Ưu tiên tự động hóa</x:v>
      </x:c>
      <x:c r="U120" s="20" t="str">
        <x:v>Nguồn: 4. Product Backlog!F39, tiêu chí 3</x:v>
      </x:c>
      <x:c r="V120" s="20" t="str">
        <x:v>S3-09</x:v>
      </x:c>
      <x:c r="W120" s="20" t="str">
        <x:v>Backlog / AC</x:v>
      </x:c>
    </x:row>
    <x:row r="121" ht="92" customHeight="1">
      <x:c r="A121" s="20" t="str">
        <x:v>TC-S3-09-X01</x:v>
      </x:c>
      <x:c r="B121" s="20" t="n">
        <x:v>3</x:v>
      </x:c>
      <x:c r="C121" s="20" t="str">
        <x:v>EP-04</x:v>
      </x:c>
      <x:c r="D121" s="20" t="str">
        <x:v>S3-09</x:v>
      </x:c>
      <x:c r="E121" s="20" t="str">
        <x:v>QA-EXTRA</x:v>
      </x:c>
      <x:c r="F121" s="20" t="str">
        <x:v>Đăng tin &amp; Ứng tuyển</x:v>
      </x:c>
      <x:c r="G121" s="20" t="str">
        <x:v>Không tạo tin từ yêu cầu chưa duyệt qua API</x:v>
      </x:c>
      <x:c r="H121" s="20" t="str">
        <x:v>Security</x:v>
      </x:c>
      <x:c r="I121" s="20" t="str">
        <x:v>High</x:v>
      </x:c>
      <x:c r="J121" s="20" t="str">
        <x:v>Nhân viên tuyển dụng</x:v>
      </x:c>
      <x:c r="K121" s="20" t="str">
        <x:v>Có phòng ban, dải lương, yêu cầu nháp/chờ duyệt và chuỗi cấp duyệt mẫu.</x:v>
      </x:c>
      <x:c r="L121" s="20" t="str">
        <x:v>REQ Nháp hoặc bị Từ chối</x:v>
      </x:c>
      <x:c r="M121" s="20" t="str">
        <x:v>1. Recruiter gọi API create_job gắn REQ chưa duyệt
2. Mở danh sách tin</x:v>
      </x:c>
      <x:c r="N121" s="20" t="str">
        <x:v>Server từ chối; không tạo tin/draft không hợp lệ</x:v>
      </x:c>
      <x:c r="O121" s="20" t="str"/>
      <x:c r="P121" s="20" t="str">
        <x:v>Chưa chạy</x:v>
      </x:c>
      <x:c r="Q121" s="20" t="str"/>
      <x:c r="R121" s="20" t="str"/>
      <x:c r="S121" s="26" t="str"/>
      <x:c r="T121" s="20" t="str">
        <x:v>Ưu tiên tự động hóa</x:v>
      </x:c>
      <x:c r="U121" s="20" t="str">
        <x:v>Kịch bản rủi ro/biên; nếu vượt yêu cầu backlog, xác nhận PO.</x:v>
      </x:c>
      <x:c r="V121" s="20" t="str">
        <x:v>S3-09</x:v>
      </x:c>
      <x:c r="W121" s="20" t="str">
        <x:v>Bổ sung QA</x:v>
      </x:c>
    </x:row>
    <x:row r="122" ht="92" customHeight="1">
      <x:c r="A122" s="20" t="str">
        <x:v>TC-S3-10-01</x:v>
      </x:c>
      <x:c r="B122" s="20" t="n">
        <x:v>3</x:v>
      </x:c>
      <x:c r="C122" s="20" t="str">
        <x:v>EP-04</x:v>
      </x:c>
      <x:c r="D122" s="20" t="str">
        <x:v>S3-10</x:v>
      </x:c>
      <x:c r="E122" s="20" t="str">
        <x:v>S3-10-AC01</x:v>
      </x:c>
      <x:c r="F122" s="20" t="str">
        <x:v>Đăng tin &amp; Ứng tuyển</x:v>
      </x:c>
      <x:c r="G122" s="20" t="str">
        <x:v>Tin phải qua duyệt trước khi hiển thị công khai</x:v>
      </x:c>
      <x:c r="H122" s="20" t="str">
        <x:v>Functional</x:v>
      </x:c>
      <x:c r="I122" s="20" t="str">
        <x:v>High</x:v>
      </x:c>
      <x:c r="J122" s="20" t="str">
        <x:v>Trưởng phòng Nhân sự</x:v>
      </x:c>
      <x:c r="K122" s="20" t="str">
        <x:v>Có phòng ban, dải lương, yêu cầu nháp/chờ duyệt và chuỗi cấp duyệt mẫu.</x:v>
      </x:c>
      <x:c r="L122" s="20" t="str">
        <x:v>REQ-TEST-001; cấp duyệt L1/L2/L3; hạn mức 25 triệu VND</x:v>
      </x:c>
      <x:c r="M122" s="20" t="str">
        <x:v>1. Chuẩn bị dữ liệu: Có phòng ban, dải lương, yêu cầu nháp/chờ duyệt và chuỗi cấp duyệt mẫu.
2. Đăng nhập bằng tài khoản vai trò 'Trưởng phòng Nhân sự' được phép thao tác.
3. Mở chức năng 'duyệt và xuất bản tin tuyển dụng' trên môi trường staging.
4. Recruiter lưu nháp tin
5. truy cập public URL trước duyệt
6. HR duyệt tin rồi mở lại public URL.
7. Ghi kết quả thực tế và đối chiếu tiêu chí S3-10-AC01.</x:v>
      </x:c>
      <x:c r="N122" s="20" t="str">
        <x:v>Tin phải qua duyệt trước khi hiển thị công khai</x:v>
      </x:c>
      <x:c r="O122" s="20" t="str"/>
      <x:c r="P122" s="20" t="str">
        <x:v>Chưa chạy</x:v>
      </x:c>
      <x:c r="Q122" s="20" t="str"/>
      <x:c r="R122" s="20" t="str"/>
      <x:c r="S122" s="26" t="str"/>
      <x:c r="T122" s="20" t="str">
        <x:v>Ưu tiên tự động hóa</x:v>
      </x:c>
      <x:c r="U122" s="20" t="str">
        <x:v>Nguồn: 4. Product Backlog!F40, tiêu chí 1</x:v>
      </x:c>
      <x:c r="V122" s="20" t="str">
        <x:v>S3-10</x:v>
      </x:c>
      <x:c r="W122" s="20" t="str">
        <x:v>Backlog / AC</x:v>
      </x:c>
    </x:row>
    <x:row r="123" ht="92" customHeight="1">
      <x:c r="A123" s="20" t="str">
        <x:v>TC-S3-10-02</x:v>
      </x:c>
      <x:c r="B123" s="20" t="n">
        <x:v>3</x:v>
      </x:c>
      <x:c r="C123" s="20" t="str">
        <x:v>EP-04</x:v>
      </x:c>
      <x:c r="D123" s="20" t="str">
        <x:v>S3-10</x:v>
      </x:c>
      <x:c r="E123" s="20" t="str">
        <x:v>S3-10-AC02</x:v>
      </x:c>
      <x:c r="F123" s="20" t="str">
        <x:v>Đăng tin &amp; Ứng tuyển</x:v>
      </x:c>
      <x:c r="G123" s="20" t="str">
        <x:v>Xem trước đúng như giao diện công khai trước khi xuất bản</x:v>
      </x:c>
      <x:c r="H123" s="20" t="str">
        <x:v>Functional</x:v>
      </x:c>
      <x:c r="I123" s="20" t="str">
        <x:v>High</x:v>
      </x:c>
      <x:c r="J123" s="20" t="str">
        <x:v>Trưởng phòng Nhân sự</x:v>
      </x:c>
      <x:c r="K123" s="20" t="str">
        <x:v>Có phòng ban, dải lương, yêu cầu nháp/chờ duyệt và chuỗi cấp duyệt mẫu.</x:v>
      </x:c>
      <x:c r="L123" s="20" t="str">
        <x:v>REQ-TEST-001; cấp duyệt L1/L2/L3; hạn mức 25 triệu VND</x:v>
      </x:c>
      <x:c r="M123" s="20" t="str">
        <x:v>1. Chuẩn bị dữ liệu: Có phòng ban, dải lương, yêu cầu nháp/chờ duyệt và chuỗi cấp duyệt mẫu.
2. Đăng nhập bằng tài khoản vai trò 'Trưởng phòng Nhân sự' được phép thao tác.
3. Mở chức năng 'duyệt và xuất bản tin tuyển dụng' trên môi trường staging.
4. Nhập JD, hình ảnh và trường salary
5. mở Xem trước rồi đối chiếu từng nội dung với trang sau publish.
6. Ghi kết quả thực tế và đối chiếu tiêu chí S3-10-AC02.</x:v>
      </x:c>
      <x:c r="N123" s="20" t="str">
        <x:v>Xem trước đúng như giao diện công khai trước khi xuất bản</x:v>
      </x:c>
      <x:c r="O123" s="20" t="str"/>
      <x:c r="P123" s="20" t="str">
        <x:v>Chưa chạy</x:v>
      </x:c>
      <x:c r="Q123" s="20" t="str"/>
      <x:c r="R123" s="20" t="str"/>
      <x:c r="S123" s="26" t="str"/>
      <x:c r="T123" s="20" t="str">
        <x:v>Ưu tiên tự động hóa</x:v>
      </x:c>
      <x:c r="U123" s="20" t="str">
        <x:v>Nguồn: 4. Product Backlog!F40, tiêu chí 2</x:v>
      </x:c>
      <x:c r="V123" s="20" t="str">
        <x:v>S3-10</x:v>
      </x:c>
      <x:c r="W123" s="20" t="str">
        <x:v>Backlog / AC</x:v>
      </x:c>
    </x:row>
    <x:row r="124" ht="92" customHeight="1">
      <x:c r="A124" s="20" t="str">
        <x:v>TC-S3-10-03</x:v>
      </x:c>
      <x:c r="B124" s="20" t="n">
        <x:v>3</x:v>
      </x:c>
      <x:c r="C124" s="20" t="str">
        <x:v>EP-04</x:v>
      </x:c>
      <x:c r="D124" s="20" t="str">
        <x:v>S3-10</x:v>
      </x:c>
      <x:c r="E124" s="20" t="str">
        <x:v>S3-10-AC03</x:v>
      </x:c>
      <x:c r="F124" s="20" t="str">
        <x:v>Đăng tin &amp; Ứng tuyển</x:v>
      </x:c>
      <x:c r="G124" s="20" t="str">
        <x:v>Ghi lại người xuất bản và thời điểm</x:v>
      </x:c>
      <x:c r="H124" s="20" t="str">
        <x:v>Functional</x:v>
      </x:c>
      <x:c r="I124" s="20" t="str">
        <x:v>High</x:v>
      </x:c>
      <x:c r="J124" s="20" t="str">
        <x:v>Trưởng phòng Nhân sự</x:v>
      </x:c>
      <x:c r="K124" s="20" t="str">
        <x:v>Có phòng ban, dải lương, yêu cầu nháp/chờ duyệt và chuỗi cấp duyệt mẫu.</x:v>
      </x:c>
      <x:c r="L124" s="20" t="str">
        <x:v>REQ-TEST-001; cấp duyệt L1/L2/L3; hạn mức 25 triệu VND</x:v>
      </x:c>
      <x:c r="M124" s="20" t="str">
        <x:v>1. Chuẩn bị dữ liệu: Có phòng ban, dải lương, yêu cầu nháp/chờ duyệt và chuỗi cấp duyệt mẫu.
2. Đăng nhập bằng tài khoản vai trò 'Trưởng phòng Nhân sự' được phép thao tác.
3. Mở chức năng 'duyệt và xuất bản tin tuyển dụng' trên môi trường staging.
4. Thực hiện ít nhất hai thao tác ở thời điểm và tài khoản khác nhau; mở lịch sử/nhật ký.
5. Đối chiếu actor, hành động, dấu thời gian và thứ tự sự kiện.</x:v>
      </x:c>
      <x:c r="N124" s="20" t="str">
        <x:v>Ghi lại người xuất bản và thời điểm</x:v>
      </x:c>
      <x:c r="O124" s="20" t="str"/>
      <x:c r="P124" s="20" t="str">
        <x:v>Chưa chạy</x:v>
      </x:c>
      <x:c r="Q124" s="20" t="str"/>
      <x:c r="R124" s="20" t="str"/>
      <x:c r="S124" s="26" t="str"/>
      <x:c r="T124" s="20" t="str">
        <x:v>Ưu tiên tự động hóa</x:v>
      </x:c>
      <x:c r="U124" s="20" t="str">
        <x:v>Nguồn: 4. Product Backlog!F40, tiêu chí 3</x:v>
      </x:c>
      <x:c r="V124" s="20" t="str">
        <x:v>S3-10</x:v>
      </x:c>
      <x:c r="W124" s="20" t="str">
        <x:v>Backlog / AC</x:v>
      </x:c>
    </x:row>
    <x:row r="125" ht="92" customHeight="1">
      <x:c r="A125" s="20" t="str">
        <x:v>TC-S3-10-X01</x:v>
      </x:c>
      <x:c r="B125" s="20" t="n">
        <x:v>3</x:v>
      </x:c>
      <x:c r="C125" s="20" t="str">
        <x:v>EP-04</x:v>
      </x:c>
      <x:c r="D125" s="20" t="str">
        <x:v>S3-10</x:v>
      </x:c>
      <x:c r="E125" s="20" t="str">
        <x:v>QA-EXTRA</x:v>
      </x:c>
      <x:c r="F125" s="20" t="str">
        <x:v>Đăng tin &amp; Ứng tuyển</x:v>
      </x:c>
      <x:c r="G125" s="20" t="str">
        <x:v>Người không có quyền không thể tự xuất bản tin</x:v>
      </x:c>
      <x:c r="H125" s="20" t="str">
        <x:v>Security / RBAC</x:v>
      </x:c>
      <x:c r="I125" s="20" t="str">
        <x:v>High</x:v>
      </x:c>
      <x:c r="J125" s="20" t="str">
        <x:v>Trưởng phòng Nhân sự</x:v>
      </x:c>
      <x:c r="K125" s="20" t="str">
        <x:v>Có phòng ban, dải lương, yêu cầu nháp/chờ duyệt và chuỗi cấp duyệt mẫu.</x:v>
      </x:c>
      <x:c r="L125" s="20" t="str">
        <x:v>Recruiter tạo tin chờ duyệt</x:v>
      </x:c>
      <x:c r="M125" s="20" t="str">
        <x:v>1. Recruiter sửa request gọi publish API
2. HR Manager publish
3. Kiểm tra audit</x:v>
      </x:c>
      <x:c r="N125" s="20" t="str">
        <x:v>Recruiter bị từ chối; tin chỉ công khai khi HR duyệt và ghi actor/thời điểm</x:v>
      </x:c>
      <x:c r="O125" s="20" t="str"/>
      <x:c r="P125" s="20" t="str">
        <x:v>Chưa chạy</x:v>
      </x:c>
      <x:c r="Q125" s="20" t="str"/>
      <x:c r="R125" s="20" t="str"/>
      <x:c r="S125" s="26" t="str"/>
      <x:c r="T125" s="20" t="str">
        <x:v>Ưu tiên tự động hóa</x:v>
      </x:c>
      <x:c r="U125" s="20" t="str">
        <x:v>Kịch bản rủi ro/biên; nếu vượt yêu cầu backlog, xác nhận PO.</x:v>
      </x:c>
      <x:c r="V125" s="20" t="str">
        <x:v>S3-10</x:v>
      </x:c>
      <x:c r="W125" s="20" t="str">
        <x:v>Bổ sung QA</x:v>
      </x:c>
    </x:row>
    <x:row r="126" ht="92" customHeight="1">
      <x:c r="A126" s="20" t="str">
        <x:v>TC-S4-01-01</x:v>
      </x:c>
      <x:c r="B126" s="20" t="n">
        <x:v>4</x:v>
      </x:c>
      <x:c r="C126" s="20" t="str">
        <x:v>EP-04</x:v>
      </x:c>
      <x:c r="D126" s="20" t="str">
        <x:v>S4-01</x:v>
      </x:c>
      <x:c r="E126" s="20" t="str">
        <x:v>S4-01-AC01</x:v>
      </x:c>
      <x:c r="F126" s="20" t="str">
        <x:v>Đăng tin &amp; Ứng tuyển</x:v>
      </x:c>
      <x:c r="G126" s="20" t="str">
        <x:v>Không cần đăng nhập</x:v>
      </x:c>
      <x:c r="H126" s="20" t="str">
        <x:v>Functional</x:v>
      </x:c>
      <x:c r="I126" s="20" t="str">
        <x:v>High</x:v>
      </x:c>
      <x:c r="J126" s="20" t="str">
        <x:v>Ứng viên</x:v>
      </x:c>
      <x:c r="K126" s="20" t="str">
        <x:v>Có tin đã duyệt/đang tuyển, ứng viên giả lập và hộp thư test.</x:v>
      </x:c>
      <x:c r="L126" s="20" t="str">
        <x:v>job QA-TEST-001; ứng viên Nguyễn Minh Test; candidate01@example.test; 0900000001; CV mẫu</x:v>
      </x:c>
      <x:c r="M126" s="20" t="str">
        <x:v>1. Chuẩn bị dữ liệu: Có tin đã duyệt/đang tuyển, ứng viên giả lập và hộp thư test.
2. Mở cổng tuyển dụng công khai / đường dẫn gửi tới ứng viên.
3. Mở chức năng 'xem danh sách việc làm đang tuyển trên trang công khai' trên môi trường staging.
4. Mở trình duyệt ẩn danh chưa có cookie
5. truy cập landing và danh sách tin đang tuyển.
6. Ghi kết quả thực tế và đối chiếu tiêu chí S4-01-AC01.</x:v>
      </x:c>
      <x:c r="N126" s="20" t="str">
        <x:v>Không cần đăng nhập</x:v>
      </x:c>
      <x:c r="O126" s="20" t="str"/>
      <x:c r="P126" s="20" t="str">
        <x:v>Chưa chạy</x:v>
      </x:c>
      <x:c r="Q126" s="20" t="str"/>
      <x:c r="R126" s="20" t="str"/>
      <x:c r="S126" s="26" t="str"/>
      <x:c r="T126" s="20" t="str">
        <x:v>Ưu tiên tự động hóa</x:v>
      </x:c>
      <x:c r="U126" s="20" t="str">
        <x:v>Nguồn: 4. Product Backlog!F43, tiêu chí 1</x:v>
      </x:c>
      <x:c r="V126" s="20" t="str">
        <x:v>S4-01</x:v>
      </x:c>
      <x:c r="W126" s="20" t="str">
        <x:v>Backlog / AC</x:v>
      </x:c>
    </x:row>
    <x:row r="127" ht="92" customHeight="1">
      <x:c r="A127" s="20" t="str">
        <x:v>TC-S4-01-02</x:v>
      </x:c>
      <x:c r="B127" s="20" t="n">
        <x:v>4</x:v>
      </x:c>
      <x:c r="C127" s="20" t="str">
        <x:v>EP-04</x:v>
      </x:c>
      <x:c r="D127" s="20" t="str">
        <x:v>S4-01</x:v>
      </x:c>
      <x:c r="E127" s="20" t="str">
        <x:v>S4-01-AC02</x:v>
      </x:c>
      <x:c r="F127" s="20" t="str">
        <x:v>Đăng tin &amp; Ứng tuyển</x:v>
      </x:c>
      <x:c r="G127" s="20" t="str">
        <x:v>Lọc theo phòng ban, địa điểm, hình thức làm việc</x:v>
      </x:c>
      <x:c r="H127" s="20" t="str">
        <x:v>Functional</x:v>
      </x:c>
      <x:c r="I127" s="20" t="str">
        <x:v>High</x:v>
      </x:c>
      <x:c r="J127" s="20" t="str">
        <x:v>Ứng viên</x:v>
      </x:c>
      <x:c r="K127" s="20" t="str">
        <x:v>Có tin đã duyệt/đang tuyển, ứng viên giả lập và hộp thư test.</x:v>
      </x:c>
      <x:c r="L127" s="20" t="str">
        <x:v>job QA-TEST-001; ứng viên Nguyễn Minh Test; candidate01@example.test; 0900000001; CV mẫu</x:v>
      </x:c>
      <x:c r="M127" s="20" t="str">
        <x:v>1. Chuẩn bị dữ liệu: Có tin đã duyệt/đang tuyển, ứng viên giả lập và hộp thư test.
2. Mở cổng tuyển dụng công khai / đường dẫn gửi tới ứng viên.
3. Mở chức năng 'xem danh sách việc làm đang tuyển trên trang công khai' trên môi trường staging.
4. Tạo dữ liệu đối chứng thuộc và không thuộc điều kiện; áp dụng bộ lọc/tìm kiếm/sắp xếp tương ứng.
5. Đối chiếu danh sách/kết quả tổng hợp với dữ liệu gốc.</x:v>
      </x:c>
      <x:c r="N127" s="20" t="str">
        <x:v>Lọc theo phòng ban, địa điểm, hình thức làm việc</x:v>
      </x:c>
      <x:c r="O127" s="20" t="str"/>
      <x:c r="P127" s="20" t="str">
        <x:v>Chưa chạy</x:v>
      </x:c>
      <x:c r="Q127" s="20" t="str"/>
      <x:c r="R127" s="20" t="str"/>
      <x:c r="S127" s="26" t="str"/>
      <x:c r="T127" s="20" t="str">
        <x:v>Ưu tiên tự động hóa</x:v>
      </x:c>
      <x:c r="U127" s="20" t="str">
        <x:v>Nguồn: 4. Product Backlog!F43, tiêu chí 2</x:v>
      </x:c>
      <x:c r="V127" s="20" t="str">
        <x:v>S4-01</x:v>
      </x:c>
      <x:c r="W127" s="20" t="str">
        <x:v>Backlog / AC</x:v>
      </x:c>
    </x:row>
    <x:row r="128" ht="92" customHeight="1">
      <x:c r="A128" s="20" t="str">
        <x:v>TC-S4-01-03</x:v>
      </x:c>
      <x:c r="B128" s="20" t="n">
        <x:v>4</x:v>
      </x:c>
      <x:c r="C128" s="20" t="str">
        <x:v>EP-04</x:v>
      </x:c>
      <x:c r="D128" s="20" t="str">
        <x:v>S4-01</x:v>
      </x:c>
      <x:c r="E128" s="20" t="str">
        <x:v>S4-01-AC03</x:v>
      </x:c>
      <x:c r="F128" s="20" t="str">
        <x:v>Đăng tin &amp; Ứng tuyển</x:v>
      </x:c>
      <x:c r="G128" s="20" t="str">
        <x:v>Tìm kiếm theo từ khoá trong tiêu đề và mô tả</x:v>
      </x:c>
      <x:c r="H128" s="20" t="str">
        <x:v>Functional</x:v>
      </x:c>
      <x:c r="I128" s="20" t="str">
        <x:v>High</x:v>
      </x:c>
      <x:c r="J128" s="20" t="str">
        <x:v>Ứng viên</x:v>
      </x:c>
      <x:c r="K128" s="20" t="str">
        <x:v>Có tin đã duyệt/đang tuyển, ứng viên giả lập và hộp thư test.</x:v>
      </x:c>
      <x:c r="L128" s="20" t="str">
        <x:v>job QA-TEST-001; ứng viên Nguyễn Minh Test; candidate01@example.test; 0900000001; CV mẫu</x:v>
      </x:c>
      <x:c r="M128" s="20" t="str">
        <x:v>1. Chuẩn bị dữ liệu: Có tin đã duyệt/đang tuyển, ứng viên giả lập và hộp thư test.
2. Mở cổng tuyển dụng công khai / đường dẫn gửi tới ứng viên.
3. Mở chức năng 'xem danh sách việc làm đang tuyển trên trang công khai' trên môi trường staging.
4. Tạo dữ liệu đối chứng thuộc và không thuộc điều kiện; áp dụng bộ lọc/tìm kiếm/sắp xếp tương ứng.
5. Đối chiếu danh sách/kết quả tổng hợp với dữ liệu gốc.</x:v>
      </x:c>
      <x:c r="N128" s="20" t="str">
        <x:v>Tìm kiếm theo từ khoá trong tiêu đề và mô tả</x:v>
      </x:c>
      <x:c r="O128" s="20" t="str"/>
      <x:c r="P128" s="20" t="str">
        <x:v>Chưa chạy</x:v>
      </x:c>
      <x:c r="Q128" s="20" t="str"/>
      <x:c r="R128" s="20" t="str"/>
      <x:c r="S128" s="26" t="str"/>
      <x:c r="T128" s="20" t="str">
        <x:v>Ưu tiên tự động hóa</x:v>
      </x:c>
      <x:c r="U128" s="20" t="str">
        <x:v>Nguồn: 4. Product Backlog!F43, tiêu chí 3</x:v>
      </x:c>
      <x:c r="V128" s="20" t="str">
        <x:v>S4-01</x:v>
      </x:c>
      <x:c r="W128" s="20" t="str">
        <x:v>Backlog / AC</x:v>
      </x:c>
    </x:row>
    <x:row r="129" ht="92" customHeight="1">
      <x:c r="A129" s="20" t="str">
        <x:v>TC-S4-01-04</x:v>
      </x:c>
      <x:c r="B129" s="20" t="n">
        <x:v>4</x:v>
      </x:c>
      <x:c r="C129" s="20" t="str">
        <x:v>EP-04</x:v>
      </x:c>
      <x:c r="D129" s="20" t="str">
        <x:v>S4-01</x:v>
      </x:c>
      <x:c r="E129" s="20" t="str">
        <x:v>S4-01-AC04</x:v>
      </x:c>
      <x:c r="F129" s="20" t="str">
        <x:v>Đăng tin &amp; Ứng tuyển</x:v>
      </x:c>
      <x:c r="G129" s="20" t="str">
        <x:v>Chỉ hiển thị tin đã xuất bản và còn hạn</x:v>
      </x:c>
      <x:c r="H129" s="20" t="str">
        <x:v>Negative / RBAC</x:v>
      </x:c>
      <x:c r="I129" s="20" t="str">
        <x:v>High</x:v>
      </x:c>
      <x:c r="J129" s="20" t="str">
        <x:v>Ứng viên</x:v>
      </x:c>
      <x:c r="K129" s="20" t="str">
        <x:v>Có tin đã duyệt/đang tuyển, ứng viên giả lập và hộp thư test.</x:v>
      </x:c>
      <x:c r="L129" s="20" t="str">
        <x:v>job QA-TEST-001; ứng viên Nguyễn Minh Test; candidate01@example.test; 0900000001; CV mẫu</x:v>
      </x:c>
      <x:c r="M129" s="20" t="str">
        <x:v>1. Chuẩn bị dữ liệu: Có tin đã duyệt/đang tuyển, ứng viên giả lập và hộp thư test.
2. Mở cổng tuyển dụng công khai / đường dẫn gửi tới ứng viên.
3. Mở chức năng 'xem danh sách việc làm đang tuyển trên trang công khai'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129" s="20" t="str">
        <x:v>Chỉ hiển thị tin đã xuất bản và còn hạn</x:v>
      </x:c>
      <x:c r="O129" s="20" t="str"/>
      <x:c r="P129" s="20" t="str">
        <x:v>Chưa chạy</x:v>
      </x:c>
      <x:c r="Q129" s="20" t="str"/>
      <x:c r="R129" s="20" t="str"/>
      <x:c r="S129" s="26" t="str"/>
      <x:c r="T129" s="20" t="str">
        <x:v>Ưu tiên tự động hóa</x:v>
      </x:c>
      <x:c r="U129" s="20" t="str">
        <x:v>Nguồn: 4. Product Backlog!F43, tiêu chí 4</x:v>
      </x:c>
      <x:c r="V129" s="20" t="str">
        <x:v>S4-01</x:v>
      </x:c>
      <x:c r="W129" s="20" t="str">
        <x:v>Backlog / AC</x:v>
      </x:c>
    </x:row>
    <x:row r="130" ht="92" customHeight="1">
      <x:c r="A130" s="20" t="str">
        <x:v>TC-S4-01-X01</x:v>
      </x:c>
      <x:c r="B130" s="20" t="n">
        <x:v>4</x:v>
      </x:c>
      <x:c r="C130" s="20" t="str">
        <x:v>EP-04</x:v>
      </x:c>
      <x:c r="D130" s="20" t="str">
        <x:v>S4-01</x:v>
      </x:c>
      <x:c r="E130" s="20" t="str">
        <x:v>QA-EXTRA</x:v>
      </x:c>
      <x:c r="F130" s="20" t="str">
        <x:v>Đăng tin &amp; Ứng tuyển</x:v>
      </x:c>
      <x:c r="G130" s="20" t="str">
        <x:v>Tin hết hạn không xuất hiện khi tìm kiếm công khai</x:v>
      </x:c>
      <x:c r="H130" s="20" t="str">
        <x:v>Boundary</x:v>
      </x:c>
      <x:c r="I130" s="20" t="str">
        <x:v>High</x:v>
      </x:c>
      <x:c r="J130" s="20" t="str">
        <x:v>Ứng viên</x:v>
      </x:c>
      <x:c r="K130" s="20" t="str">
        <x:v>Có tin đã duyệt/đang tuyển, ứng viên giả lập và hộp thư test.</x:v>
      </x:c>
      <x:c r="L130" s="20" t="str">
        <x:v>1 tin hết hạn; 1 tin hoạt động</x:v>
      </x:c>
      <x:c r="M130" s="20" t="str">
        <x:v>1. Truy cập công khai
2. Tìm theo từ khoá cả hai tin
3. Lọc phòng ban</x:v>
      </x:c>
      <x:c r="N130" s="20" t="str">
        <x:v>Chỉ tin đã duyệt còn hạn xuất hiện; tin hết hạn không bị lộ qua URL danh sách</x:v>
      </x:c>
      <x:c r="O130" s="20" t="str"/>
      <x:c r="P130" s="20" t="str">
        <x:v>Chưa chạy</x:v>
      </x:c>
      <x:c r="Q130" s="20" t="str"/>
      <x:c r="R130" s="20" t="str"/>
      <x:c r="S130" s="26" t="str"/>
      <x:c r="T130" s="20" t="str">
        <x:v>Ưu tiên tự động hóa</x:v>
      </x:c>
      <x:c r="U130" s="20" t="str">
        <x:v>Kịch bản rủi ro/biên; nếu vượt yêu cầu backlog, xác nhận PO.</x:v>
      </x:c>
      <x:c r="V130" s="20" t="str">
        <x:v>S4-01</x:v>
      </x:c>
      <x:c r="W130" s="20" t="str">
        <x:v>Bổ sung QA</x:v>
      </x:c>
    </x:row>
    <x:row r="131" ht="92" customHeight="1">
      <x:c r="A131" s="20" t="str">
        <x:v>TC-S4-02-01</x:v>
      </x:c>
      <x:c r="B131" s="20" t="n">
        <x:v>4</x:v>
      </x:c>
      <x:c r="C131" s="20" t="str">
        <x:v>EP-04</x:v>
      </x:c>
      <x:c r="D131" s="20" t="str">
        <x:v>S4-02</x:v>
      </x:c>
      <x:c r="E131" s="20" t="str">
        <x:v>S4-02-AC01</x:v>
      </x:c>
      <x:c r="F131" s="20" t="str">
        <x:v>Đăng tin &amp; Ứng tuyển</x:v>
      </x:c>
      <x:c r="G131" s="20" t="str">
        <x:v>Hiển thị mô tả công việc, yêu cầu, quyền lợi, hạn nộp</x:v>
      </x:c>
      <x:c r="H131" s="20" t="str">
        <x:v>Functional</x:v>
      </x:c>
      <x:c r="I131" s="20" t="str">
        <x:v>High</x:v>
      </x:c>
      <x:c r="J131" s="20" t="str">
        <x:v>Ứng viên</x:v>
      </x:c>
      <x:c r="K131" s="20" t="str">
        <x:v>Có tin đã duyệt/đang tuyển, ứng viên giả lập và hộp thư test.</x:v>
      </x:c>
      <x:c r="L131" s="20" t="str">
        <x:v>job QA-TEST-001; ứng viên Nguyễn Minh Test; candidate01@example.test; 0900000001; CV mẫu</x:v>
      </x:c>
      <x:c r="M131" s="20" t="str">
        <x:v>1. Chuẩn bị dữ liệu: Có tin đã duyệt/đang tuyển, ứng viên giả lập và hộp thư test.
2. Mở cổng tuyển dụng công khai / đường dẫn gửi tới ứng viên.
3. Mở chức năng 'xem chi tiết một tin tuyển dụng' trên môi trường staging.
4. Mở một tin đã xuất bản
5. kiểm tra JD, tiêu chí, quyền lợi, hạn nộp với dữ liệu DB seed.
6. Ghi kết quả thực tế và đối chiếu tiêu chí S4-02-AC01.</x:v>
      </x:c>
      <x:c r="N131" s="20" t="str">
        <x:v>Hiển thị mô tả công việc, yêu cầu, quyền lợi, hạn nộp</x:v>
      </x:c>
      <x:c r="O131" s="20" t="str"/>
      <x:c r="P131" s="20" t="str">
        <x:v>Chưa chạy</x:v>
      </x:c>
      <x:c r="Q131" s="20" t="str"/>
      <x:c r="R131" s="20" t="str"/>
      <x:c r="S131" s="26" t="str"/>
      <x:c r="T131" s="20" t="str">
        <x:v>Ưu tiên tự động hóa</x:v>
      </x:c>
      <x:c r="U131" s="20" t="str">
        <x:v>Nguồn: 4. Product Backlog!F44, tiêu chí 1</x:v>
      </x:c>
      <x:c r="V131" s="20" t="str">
        <x:v>S4-02</x:v>
      </x:c>
      <x:c r="W131" s="20" t="str">
        <x:v>Backlog / AC</x:v>
      </x:c>
    </x:row>
    <x:row r="132" ht="92" customHeight="1">
      <x:c r="A132" s="20" t="str">
        <x:v>TC-S4-02-02</x:v>
      </x:c>
      <x:c r="B132" s="20" t="n">
        <x:v>4</x:v>
      </x:c>
      <x:c r="C132" s="20" t="str">
        <x:v>EP-04</x:v>
      </x:c>
      <x:c r="D132" s="20" t="str">
        <x:v>S4-02</x:v>
      </x:c>
      <x:c r="E132" s="20" t="str">
        <x:v>S4-02-AC02</x:v>
      </x:c>
      <x:c r="F132" s="20" t="str">
        <x:v>Đăng tin &amp; Ứng tuyển</x:v>
      </x:c>
      <x:c r="G132" s="20" t="str">
        <x:v>Có nút ứng tuyển nổi bật, hiển thị tốt trên điện thoại</x:v>
      </x:c>
      <x:c r="H132" s="20" t="str">
        <x:v>Functional</x:v>
      </x:c>
      <x:c r="I132" s="20" t="str">
        <x:v>High</x:v>
      </x:c>
      <x:c r="J132" s="20" t="str">
        <x:v>Ứng viên</x:v>
      </x:c>
      <x:c r="K132" s="20" t="str">
        <x:v>Có tin đã duyệt/đang tuyển, ứng viên giả lập và hộp thư test.</x:v>
      </x:c>
      <x:c r="L132" s="20" t="str">
        <x:v>job QA-TEST-001; ứng viên Nguyễn Minh Test; candidate01@example.test; 0900000001; CV mẫu</x:v>
      </x:c>
      <x:c r="M132" s="20" t="str">
        <x:v>1. Chuẩn bị dữ liệu: Có tin đã duyệt/đang tuyển, ứng viên giả lập và hộp thư test.
2. Mở cổng tuyển dụng công khai / đường dẫn gửi tới ứng viên.
3. Mở chức năng 'xem chi tiết một tin tuyển dụng' trên môi trường staging.
4. Giả lập viewport 360px
5. mở tin dài
6. cuộn trang, bấm CTA ứng tuyển và kiểm tra form mở đúng.
7. Ghi kết quả thực tế và đối chiếu tiêu chí S4-02-AC02.</x:v>
      </x:c>
      <x:c r="N132" s="20" t="str">
        <x:v>Có nút ứng tuyển nổi bật, hiển thị tốt trên điện thoại</x:v>
      </x:c>
      <x:c r="O132" s="20" t="str"/>
      <x:c r="P132" s="20" t="str">
        <x:v>Chưa chạy</x:v>
      </x:c>
      <x:c r="Q132" s="20" t="str"/>
      <x:c r="R132" s="20" t="str"/>
      <x:c r="S132" s="26" t="str"/>
      <x:c r="T132" s="20" t="str">
        <x:v>Ưu tiên tự động hóa</x:v>
      </x:c>
      <x:c r="U132" s="20" t="str">
        <x:v>Nguồn: 4. Product Backlog!F44, tiêu chí 2</x:v>
      </x:c>
      <x:c r="V132" s="20" t="str">
        <x:v>S4-02</x:v>
      </x:c>
      <x:c r="W132" s="20" t="str">
        <x:v>Backlog / AC</x:v>
      </x:c>
    </x:row>
    <x:row r="133" ht="92" customHeight="1">
      <x:c r="A133" s="20" t="str">
        <x:v>TC-S4-02-03</x:v>
      </x:c>
      <x:c r="B133" s="20" t="n">
        <x:v>4</x:v>
      </x:c>
      <x:c r="C133" s="20" t="str">
        <x:v>EP-04</x:v>
      </x:c>
      <x:c r="D133" s="20" t="str">
        <x:v>S4-02</x:v>
      </x:c>
      <x:c r="E133" s="20" t="str">
        <x:v>S4-02-AC03</x:v>
      </x:c>
      <x:c r="F133" s="20" t="str">
        <x:v>Đăng tin &amp; Ứng tuyển</x:v>
      </x:c>
      <x:c r="G133" s="20" t="str">
        <x:v>Tin đã hết hạn hiển thị thông báo thay vì biểu mẫu ứng tuyển</x:v>
      </x:c>
      <x:c r="H133" s="20" t="str">
        <x:v>Functional</x:v>
      </x:c>
      <x:c r="I133" s="20" t="str">
        <x:v>High</x:v>
      </x:c>
      <x:c r="J133" s="20" t="str">
        <x:v>Ứng viên</x:v>
      </x:c>
      <x:c r="K133" s="20" t="str">
        <x:v>Có tin đã duyệt/đang tuyển, ứng viên giả lập và hộp thư test.</x:v>
      </x:c>
      <x:c r="L133" s="20" t="str">
        <x:v>job QA-TEST-001; ứng viên Nguyễn Minh Test; candidate01@example.test; 0900000001; CV mẫu</x:v>
      </x:c>
      <x:c r="M133" s="20" t="str">
        <x:v>1. Chuẩn bị dữ liệu: Có tin đã duyệt/đang tuyển, ứng viên giả lập và hộp thư test.
2. Mở cổng tuyển dụng công khai / đường dẫn gửi tới ứng viên.
3. Mở chức năng 'xem chi tiết một tin tuyển dụng' trên môi trường staging.
4. Thực hiện thao tác phát sinh email/thông báo; đọc hộp thư sandbox và thông báo trong ứng dụng.
5. Đối chiếu người nhận, nội dung, thời điểm, trạng thái và việc chống gửi trùng.</x:v>
      </x:c>
      <x:c r="N133" s="20" t="str">
        <x:v>Tin đã hết hạn hiển thị thông báo thay vì biểu mẫu ứng tuyển</x:v>
      </x:c>
      <x:c r="O133" s="20" t="str"/>
      <x:c r="P133" s="20" t="str">
        <x:v>Chưa chạy</x:v>
      </x:c>
      <x:c r="Q133" s="20" t="str"/>
      <x:c r="R133" s="20" t="str"/>
      <x:c r="S133" s="26" t="str"/>
      <x:c r="T133" s="20" t="str">
        <x:v>Ưu tiên tự động hóa</x:v>
      </x:c>
      <x:c r="U133" s="20" t="str">
        <x:v>Nguồn: 4. Product Backlog!F44, tiêu chí 3</x:v>
      </x:c>
      <x:c r="V133" s="20" t="str">
        <x:v>S4-02</x:v>
      </x:c>
      <x:c r="W133" s="20" t="str">
        <x:v>Backlog / AC</x:v>
      </x:c>
    </x:row>
    <x:row r="134" ht="92" customHeight="1">
      <x:c r="A134" s="20" t="str">
        <x:v>TC-S4-02-X01</x:v>
      </x:c>
      <x:c r="B134" s="20" t="n">
        <x:v>4</x:v>
      </x:c>
      <x:c r="C134" s="20" t="str">
        <x:v>EP-04</x:v>
      </x:c>
      <x:c r="D134" s="20" t="str">
        <x:v>S4-02</x:v>
      </x:c>
      <x:c r="E134" s="20" t="str">
        <x:v>QA-EXTRA</x:v>
      </x:c>
      <x:c r="F134" s="20" t="str">
        <x:v>Đăng tin &amp; Ứng tuyển</x:v>
      </x:c>
      <x:c r="G134" s="20" t="str">
        <x:v>Không nộp hồ sơ tại trang chi tiết tin hết hạn</x:v>
      </x:c>
      <x:c r="H134" s="20" t="str">
        <x:v>Negative</x:v>
      </x:c>
      <x:c r="I134" s="20" t="str">
        <x:v>High</x:v>
      </x:c>
      <x:c r="J134" s="20" t="str">
        <x:v>Ứng viên</x:v>
      </x:c>
      <x:c r="K134" s="20" t="str">
        <x:v>Có tin đã duyệt/đang tuyển, ứng viên giả lập và hộp thư test.</x:v>
      </x:c>
      <x:c r="L134" s="20" t="str">
        <x:v>Tin hết hạn đúng 00:00 ICT</x:v>
      </x:c>
      <x:c r="M134" s="20" t="str">
        <x:v>1. Mở link chi tiết tin đã hết hạn
2. Thử gọi API apply của tin này</x:v>
      </x:c>
      <x:c r="N134" s="20" t="str">
        <x:v>Hiển thị thông báo hết hạn, ẩn nút apply và API không nhận hồ sơ</x:v>
      </x:c>
      <x:c r="O134" s="20" t="str"/>
      <x:c r="P134" s="20" t="str">
        <x:v>Chưa chạy</x:v>
      </x:c>
      <x:c r="Q134" s="20" t="str"/>
      <x:c r="R134" s="20" t="str"/>
      <x:c r="S134" s="26" t="str"/>
      <x:c r="T134" s="20" t="str">
        <x:v>Ưu tiên tự động hóa</x:v>
      </x:c>
      <x:c r="U134" s="20" t="str">
        <x:v>Kịch bản rủi ro/biên; nếu vượt yêu cầu backlog, xác nhận PO.</x:v>
      </x:c>
      <x:c r="V134" s="20" t="str">
        <x:v>S4-02</x:v>
      </x:c>
      <x:c r="W134" s="20" t="str">
        <x:v>Bổ sung QA</x:v>
      </x:c>
    </x:row>
    <x:row r="135" ht="92" customHeight="1">
      <x:c r="A135" s="20" t="str">
        <x:v>TC-S4-03-01</x:v>
      </x:c>
      <x:c r="B135" s="20" t="n">
        <x:v>4</x:v>
      </x:c>
      <x:c r="C135" s="20" t="str">
        <x:v>EP-04</x:v>
      </x:c>
      <x:c r="D135" s="20" t="str">
        <x:v>S4-03</x:v>
      </x:c>
      <x:c r="E135" s="20" t="str">
        <x:v>S4-03-AC01</x:v>
      </x:c>
      <x:c r="F135" s="20" t="str">
        <x:v>Đăng tin &amp; Ứng tuyển</x:v>
      </x:c>
      <x:c r="G135" s="20" t="str">
        <x:v>Biểu mẫu gồm họ tên, email, số điện thoại, nguồn biết tin, thư giới thiệu và tệp CV</x:v>
      </x:c>
      <x:c r="H135" s="20" t="str">
        <x:v>Functional</x:v>
      </x:c>
      <x:c r="I135" s="20" t="str">
        <x:v>Critical</x:v>
      </x:c>
      <x:c r="J135" s="20" t="str">
        <x:v>Ứng viên</x:v>
      </x:c>
      <x:c r="K135" s="20" t="str">
        <x:v>Có tin đã duyệt/đang tuyển, ứng viên giả lập và hộp thư test.</x:v>
      </x:c>
      <x:c r="L135" s="20" t="str">
        <x:v>job QA-TEST-001; ứng viên Nguyễn Minh Test; candidate01@example.test; 0900000001; CV mẫu</x:v>
      </x:c>
      <x:c r="M135" s="20" t="str">
        <x:v>1. Chuẩn bị dữ liệu: Có tin đã duyệt/đang tuyển, ứng viên giả lập và hộp thư test.
2. Mở cổng tuyển dụng công khai / đường dẫn gửi tới ứng viên.
3. Mở chức năng 'nộp hồ sơ ứng tuyển kèm CV' trên môi trường staging.
4. Thực hiện thao tác phát sinh email/thông báo; đọc hộp thư sandbox và thông báo trong ứng dụng.
5. Đối chiếu người nhận, nội dung, thời điểm, trạng thái và việc chống gửi trùng.</x:v>
      </x:c>
      <x:c r="N135" s="20" t="str">
        <x:v>Biểu mẫu gồm họ tên, email, số điện thoại, nguồn biết tin, thư giới thiệu và tệp CV</x:v>
      </x:c>
      <x:c r="O135" s="20" t="str"/>
      <x:c r="P135" s="20" t="str">
        <x:v>Chưa chạy</x:v>
      </x:c>
      <x:c r="Q135" s="20" t="str"/>
      <x:c r="R135" s="20" t="str"/>
      <x:c r="S135" s="26" t="str"/>
      <x:c r="T135" s="20" t="str">
        <x:v>Ưu tiên tự động hóa</x:v>
      </x:c>
      <x:c r="U135" s="20" t="str">
        <x:v>Nguồn: 4. Product Backlog!F45, tiêu chí 1</x:v>
      </x:c>
      <x:c r="V135" s="20" t="str">
        <x:v>S4-03</x:v>
      </x:c>
      <x:c r="W135" s="20" t="str">
        <x:v>Backlog / AC</x:v>
      </x:c>
    </x:row>
    <x:row r="136" ht="92" customHeight="1">
      <x:c r="A136" s="20" t="str">
        <x:v>TC-S4-03-02</x:v>
      </x:c>
      <x:c r="B136" s="20" t="n">
        <x:v>4</x:v>
      </x:c>
      <x:c r="C136" s="20" t="str">
        <x:v>EP-04</x:v>
      </x:c>
      <x:c r="D136" s="20" t="str">
        <x:v>S4-03</x:v>
      </x:c>
      <x:c r="E136" s="20" t="str">
        <x:v>S4-03-AC02</x:v>
      </x:c>
      <x:c r="F136" s="20" t="str">
        <x:v>Đăng tin &amp; Ứng tuyển</x:v>
      </x:c>
      <x:c r="G136" s="20" t="str">
        <x:v>CV chấp nhận PDF hoặc DOCX, tối đa 10MB</x:v>
      </x:c>
      <x:c r="H136" s="20" t="str">
        <x:v>Boundary</x:v>
      </x:c>
      <x:c r="I136" s="20" t="str">
        <x:v>Critical</x:v>
      </x:c>
      <x:c r="J136" s="20" t="str">
        <x:v>Ứng viên</x:v>
      </x:c>
      <x:c r="K136" s="20" t="str">
        <x:v>Có tin đã duyệt/đang tuyển, ứng viên giả lập và hộp thư test.</x:v>
      </x:c>
      <x:c r="L136" s="20" t="str">
        <x:v>job QA-TEST-001; ứng viên Nguyễn Minh Test; candidate01@example.test; 0900000001; CV mẫu</x:v>
      </x:c>
      <x:c r="M136" s="20" t="str">
        <x:v>1. Chuẩn bị dữ liệu: Có tin đã duyệt/đang tuyển, ứng viên giả lập và hộp thư test.
2. Mở cổng tuyển dụng công khai / đường dẫn gửi tới ứng viên.
3. Mở chức năng 'nộp hồ sơ ứng tuyển kèm CV' trên môi trường staging.
4. Lần lượt tải PDF, DOCX hợp lệ; tệp vượt 10MB và sai MIME/đuôi.
5. Quan sát xác thực file, kết quả tải và metadata lưu trữ.</x:v>
      </x:c>
      <x:c r="N136" s="20" t="str">
        <x:v>CV chấp nhận PDF hoặc DOCX, tối đa 10MB</x:v>
      </x:c>
      <x:c r="O136" s="20" t="str"/>
      <x:c r="P136" s="20" t="str">
        <x:v>Chưa chạy</x:v>
      </x:c>
      <x:c r="Q136" s="20" t="str"/>
      <x:c r="R136" s="20" t="str"/>
      <x:c r="S136" s="26" t="str"/>
      <x:c r="T136" s="20" t="str">
        <x:v>Ưu tiên tự động hóa</x:v>
      </x:c>
      <x:c r="U136" s="20" t="str">
        <x:v>Nguồn: 4. Product Backlog!F45, tiêu chí 2</x:v>
      </x:c>
      <x:c r="V136" s="20" t="str">
        <x:v>S4-03</x:v>
      </x:c>
      <x:c r="W136" s="20" t="str">
        <x:v>Backlog / AC</x:v>
      </x:c>
    </x:row>
    <x:row r="137" ht="92" customHeight="1">
      <x:c r="A137" s="20" t="str">
        <x:v>TC-S4-03-03</x:v>
      </x:c>
      <x:c r="B137" s="20" t="n">
        <x:v>4</x:v>
      </x:c>
      <x:c r="C137" s="20" t="str">
        <x:v>EP-04</x:v>
      </x:c>
      <x:c r="D137" s="20" t="str">
        <x:v>S4-03</x:v>
      </x:c>
      <x:c r="E137" s="20" t="str">
        <x:v>S4-03-AC03</x:v>
      </x:c>
      <x:c r="F137" s="20" t="str">
        <x:v>Đăng tin &amp; Ứng tuyển</x:v>
      </x:c>
      <x:c r="G137" s="20" t="str">
        <x:v>Có chống spam và giới hạn số lần nộp từ một địa chỉ trong một giờ</x:v>
      </x:c>
      <x:c r="H137" s="20" t="str">
        <x:v>Negative / RBAC</x:v>
      </x:c>
      <x:c r="I137" s="20" t="str">
        <x:v>Critical</x:v>
      </x:c>
      <x:c r="J137" s="20" t="str">
        <x:v>Ứng viên</x:v>
      </x:c>
      <x:c r="K137" s="20" t="str">
        <x:v>Có tin đã duyệt/đang tuyển, ứng viên giả lập và hộp thư test.</x:v>
      </x:c>
      <x:c r="L137" s="20" t="str">
        <x:v>job QA-TEST-001; ứng viên Nguyễn Minh Test; candidate01@example.test; 0900000001; CV mẫu</x:v>
      </x:c>
      <x:c r="M137" s="20" t="str">
        <x:v>1. Chuẩn bị dữ liệu: Có tin đã duyệt/đang tuyển, ứng viên giả lập và hộp thư test.
2. Mở cổng tuyển dụng công khai / đường dẫn gửi tới ứng viên.
3. Mở chức năng 'nộp hồ sơ ứng tuyển kèm CV'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137" s="20" t="str">
        <x:v>Có chống spam và giới hạn số lần nộp từ một địa chỉ trong một giờ</x:v>
      </x:c>
      <x:c r="O137" s="20" t="str"/>
      <x:c r="P137" s="20" t="str">
        <x:v>Chưa chạy</x:v>
      </x:c>
      <x:c r="Q137" s="20" t="str"/>
      <x:c r="R137" s="20" t="str"/>
      <x:c r="S137" s="26" t="str"/>
      <x:c r="T137" s="20" t="str">
        <x:v>Ưu tiên tự động hóa</x:v>
      </x:c>
      <x:c r="U137" s="20" t="str">
        <x:v>Nguồn: 4. Product Backlog!F45, tiêu chí 3</x:v>
      </x:c>
      <x:c r="V137" s="20" t="str">
        <x:v>S4-03</x:v>
      </x:c>
      <x:c r="W137" s="20" t="str">
        <x:v>Backlog / AC</x:v>
      </x:c>
    </x:row>
    <x:row r="138" ht="92" customHeight="1">
      <x:c r="A138" s="20" t="str">
        <x:v>TC-S4-03-04</x:v>
      </x:c>
      <x:c r="B138" s="20" t="n">
        <x:v>4</x:v>
      </x:c>
      <x:c r="C138" s="20" t="str">
        <x:v>EP-04</x:v>
      </x:c>
      <x:c r="D138" s="20" t="str">
        <x:v>S4-03</x:v>
      </x:c>
      <x:c r="E138" s="20" t="str">
        <x:v>S4-03-AC04</x:v>
      </x:c>
      <x:c r="F138" s="20" t="str">
        <x:v>Đăng tin &amp; Ứng tuyển</x:v>
      </x:c>
      <x:c r="G138" s="20" t="str">
        <x:v>Nộp trùng cùng một vị trí bằng cùng email bị từ chối kèm thông báo rõ ràng</x:v>
      </x:c>
      <x:c r="H138" s="20" t="str">
        <x:v>Negative / RBAC</x:v>
      </x:c>
      <x:c r="I138" s="20" t="str">
        <x:v>Critical</x:v>
      </x:c>
      <x:c r="J138" s="20" t="str">
        <x:v>Ứng viên</x:v>
      </x:c>
      <x:c r="K138" s="20" t="str">
        <x:v>Có tin đã duyệt/đang tuyển, ứng viên giả lập và hộp thư test.</x:v>
      </x:c>
      <x:c r="L138" s="20" t="str">
        <x:v>job QA-TEST-001; ứng viên Nguyễn Minh Test; candidate01@example.test; 0900000001; CV mẫu</x:v>
      </x:c>
      <x:c r="M138" s="20" t="str">
        <x:v>1. Chuẩn bị dữ liệu: Có tin đã duyệt/đang tuyển, ứng viên giả lập và hộp thư test.
2. Mở cổng tuyển dụng công khai / đường dẫn gửi tới ứng viên.
3. Mở chức năng 'nộp hồ sơ ứng tuyển kèm CV' trên môi trường staging.
4. Tạo hai bản ghi/khung giờ có cùng khoá nghiệp vụ (email, số điện thoại, vị trí hoặc người/phòng trùng lịch).
5. Thực hiện lưu/gộp/đặt lịch và kiểm tra cảnh báo, dữ liệu sau thao tác.</x:v>
      </x:c>
      <x:c r="N138" s="20" t="str">
        <x:v>Nộp trùng cùng một vị trí bằng cùng email bị từ chối kèm thông báo rõ ràng</x:v>
      </x:c>
      <x:c r="O138" s="20" t="str"/>
      <x:c r="P138" s="20" t="str">
        <x:v>Chưa chạy</x:v>
      </x:c>
      <x:c r="Q138" s="20" t="str"/>
      <x:c r="R138" s="20" t="str"/>
      <x:c r="S138" s="26" t="str"/>
      <x:c r="T138" s="20" t="str">
        <x:v>Ưu tiên tự động hóa</x:v>
      </x:c>
      <x:c r="U138" s="20" t="str">
        <x:v>Nguồn: 4. Product Backlog!F45, tiêu chí 4</x:v>
      </x:c>
      <x:c r="V138" s="20" t="str">
        <x:v>S4-03</x:v>
      </x:c>
      <x:c r="W138" s="20" t="str">
        <x:v>Backlog / AC</x:v>
      </x:c>
    </x:row>
    <x:row r="139" ht="92" customHeight="1">
      <x:c r="A139" s="20" t="str">
        <x:v>TC-S4-03-05</x:v>
      </x:c>
      <x:c r="B139" s="20" t="n">
        <x:v>4</x:v>
      </x:c>
      <x:c r="C139" s="20" t="str">
        <x:v>EP-04</x:v>
      </x:c>
      <x:c r="D139" s="20" t="str">
        <x:v>S4-03</x:v>
      </x:c>
      <x:c r="E139" s="20" t="str">
        <x:v>S4-03-AC05</x:v>
      </x:c>
      <x:c r="F139" s="20" t="str">
        <x:v>Đăng tin &amp; Ứng tuyển</x:v>
      </x:c>
      <x:c r="G139" s="20" t="str">
        <x:v>Nộp thành công sinh mã tra cứu và gửi email xác nhận</x:v>
      </x:c>
      <x:c r="H139" s="20" t="str">
        <x:v>Functional</x:v>
      </x:c>
      <x:c r="I139" s="20" t="str">
        <x:v>Critical</x:v>
      </x:c>
      <x:c r="J139" s="20" t="str">
        <x:v>Ứng viên</x:v>
      </x:c>
      <x:c r="K139" s="20" t="str">
        <x:v>Có tin đã duyệt/đang tuyển, ứng viên giả lập và hộp thư test.</x:v>
      </x:c>
      <x:c r="L139" s="20" t="str">
        <x:v>job QA-TEST-001; ứng viên Nguyễn Minh Test; candidate01@example.test; 0900000001; CV mẫu</x:v>
      </x:c>
      <x:c r="M139" s="20" t="str">
        <x:v>1. Chuẩn bị dữ liệu: Có tin đã duyệt/đang tuyển, ứng viên giả lập và hộp thư test.
2. Mở cổng tuyển dụng công khai / đường dẫn gửi tới ứng viên.
3. Mở chức năng 'nộp hồ sơ ứng tuyển kèm CV' trên môi trường staging.
4. Thực hiện thao tác phát sinh email/thông báo; đọc hộp thư sandbox và thông báo trong ứng dụng.
5. Đối chiếu người nhận, nội dung, thời điểm, trạng thái và việc chống gửi trùng.</x:v>
      </x:c>
      <x:c r="N139" s="20" t="str">
        <x:v>Nộp thành công sinh mã tra cứu và gửi email xác nhận</x:v>
      </x:c>
      <x:c r="O139" s="20" t="str"/>
      <x:c r="P139" s="20" t="str">
        <x:v>Chưa chạy</x:v>
      </x:c>
      <x:c r="Q139" s="20" t="str"/>
      <x:c r="R139" s="20" t="str"/>
      <x:c r="S139" s="26" t="str"/>
      <x:c r="T139" s="20" t="str">
        <x:v>Ưu tiên tự động hóa</x:v>
      </x:c>
      <x:c r="U139" s="20" t="str">
        <x:v>Nguồn: 4. Product Backlog!F45, tiêu chí 5</x:v>
      </x:c>
      <x:c r="V139" s="20" t="str">
        <x:v>S4-03</x:v>
      </x:c>
      <x:c r="W139" s="20" t="str">
        <x:v>Backlog / AC</x:v>
      </x:c>
    </x:row>
    <x:row r="140" ht="92" customHeight="1">
      <x:c r="A140" s="20" t="str">
        <x:v>TC-S4-03-X01</x:v>
      </x:c>
      <x:c r="B140" s="20" t="n">
        <x:v>4</x:v>
      </x:c>
      <x:c r="C140" s="20" t="str">
        <x:v>EP-04</x:v>
      </x:c>
      <x:c r="D140" s="20" t="str">
        <x:v>S4-03</x:v>
      </x:c>
      <x:c r="E140" s="20" t="str">
        <x:v>QA-EXTRA</x:v>
      </x:c>
      <x:c r="F140" s="20" t="str">
        <x:v>Đăng tin &amp; Ứng tuyển</x:v>
      </x:c>
      <x:c r="G140" s="20" t="str">
        <x:v>Tệp CV vượt giới hạn 10MB đúng 1 byte</x:v>
      </x:c>
      <x:c r="H140" s="20" t="str">
        <x:v>Boundary</x:v>
      </x:c>
      <x:c r="I140" s="20" t="str">
        <x:v>Critical</x:v>
      </x:c>
      <x:c r="J140" s="20" t="str">
        <x:v>Ứng viên</x:v>
      </x:c>
      <x:c r="K140" s="20" t="str">
        <x:v>Có tin đã duyệt/đang tuyển, ứng viên giả lập và hộp thư test.</x:v>
      </x:c>
      <x:c r="L140" s="20" t="str">
        <x:v>CV PDF 10MB và 10MB + 1 byte</x:v>
      </x:c>
      <x:c r="M140" s="20" t="str">
        <x:v>1. Nộp với PDF đúng giới hạn
2. Nộp hồ sơ khác với file quá 1 byte
3. Kiểm tra bucket</x:v>
      </x:c>
      <x:c r="N140" s="20" t="str">
        <x:v>Tệp trong giới hạn được nhận; quá giới hạn bị từ chối; không lưu file quá cỡ</x:v>
      </x:c>
      <x:c r="O140" s="20" t="str"/>
      <x:c r="P140" s="20" t="str">
        <x:v>Chưa chạy</x:v>
      </x:c>
      <x:c r="Q140" s="20" t="str"/>
      <x:c r="R140" s="20" t="str"/>
      <x:c r="S140" s="26" t="str"/>
      <x:c r="T140" s="20" t="str">
        <x:v>Ưu tiên tự động hóa</x:v>
      </x:c>
      <x:c r="U140" s="20" t="str">
        <x:v>Kịch bản rủi ro/biên; nếu vượt yêu cầu backlog, xác nhận PO.</x:v>
      </x:c>
      <x:c r="V140" s="20" t="str">
        <x:v>S4-03</x:v>
      </x:c>
      <x:c r="W140" s="20" t="str">
        <x:v>Bổ sung QA</x:v>
      </x:c>
    </x:row>
    <x:row r="141" ht="92" customHeight="1">
      <x:c r="A141" s="20" t="str">
        <x:v>TC-S4-04-01</x:v>
      </x:c>
      <x:c r="B141" s="20" t="n">
        <x:v>4</x:v>
      </x:c>
      <x:c r="C141" s="20" t="str">
        <x:v>EP-04</x:v>
      </x:c>
      <x:c r="D141" s="20" t="str">
        <x:v>S4-04</x:v>
      </x:c>
      <x:c r="E141" s="20" t="str">
        <x:v>S4-04-AC01</x:v>
      </x:c>
      <x:c r="F141" s="20" t="str">
        <x:v>Đăng tin &amp; Ứng tuyển</x:v>
      </x:c>
      <x:c r="G141" s="20" t="str">
        <x:v>Hệ thống bóc tách họ tên, email, số điện thoại từ CV dạng PDF</x:v>
      </x:c>
      <x:c r="H141" s="20" t="str">
        <x:v>Functional</x:v>
      </x:c>
      <x:c r="I141" s="20" t="str">
        <x:v>Medium</x:v>
      </x:c>
      <x:c r="J141" s="20" t="str">
        <x:v>Nhân viên tuyển dụng</x:v>
      </x:c>
      <x:c r="K141" s="20" t="str">
        <x:v>Có tin đã duyệt/đang tuyển, ứng viên giả lập và hộp thư test.</x:v>
      </x:c>
      <x:c r="L141" s="20" t="str">
        <x:v>job QA-TEST-001; ứng viên Nguyễn Minh Test; candidate01@example.test; 0900000001; CV mẫu</x:v>
      </x:c>
      <x:c r="M141" s="20" t="str">
        <x:v>1. Chuẩn bị dữ liệu: Có tin đã duyệt/đang tuyển, ứng viên giả lập và hộp thư test.
2. Đăng nhập bằng tài khoản vai trò 'Nhân viên tuyển dụng' được phép thao tác.
3. Mở chức năng 'có thông tin cơ bản của ứng viên được điền sẵn từ tệp CV' trên môi trường staging.
4. Thực hiện thao tác phát sinh email/thông báo; đọc hộp thư sandbox và thông báo trong ứng dụng.
5. Đối chiếu người nhận, nội dung, thời điểm, trạng thái và việc chống gửi trùng.</x:v>
      </x:c>
      <x:c r="N141" s="20" t="str">
        <x:v>Hệ thống bóc tách họ tên, email, số điện thoại từ CV dạng PDF</x:v>
      </x:c>
      <x:c r="O141" s="20" t="str"/>
      <x:c r="P141" s="20" t="str">
        <x:v>Chưa chạy</x:v>
      </x:c>
      <x:c r="Q141" s="20" t="str"/>
      <x:c r="R141" s="20" t="str"/>
      <x:c r="S141" s="26" t="str"/>
      <x:c r="T141" s="20" t="str">
        <x:v>Cân nhắc</x:v>
      </x:c>
      <x:c r="U141" s="20" t="str">
        <x:v>Nguồn: 4. Product Backlog!F46, tiêu chí 1</x:v>
      </x:c>
      <x:c r="V141" s="20" t="str">
        <x:v>S4-04</x:v>
      </x:c>
      <x:c r="W141" s="20" t="str">
        <x:v>Backlog / AC</x:v>
      </x:c>
    </x:row>
    <x:row r="142" ht="92" customHeight="1">
      <x:c r="A142" s="20" t="str">
        <x:v>TC-S4-04-02</x:v>
      </x:c>
      <x:c r="B142" s="20" t="n">
        <x:v>4</x:v>
      </x:c>
      <x:c r="C142" s="20" t="str">
        <x:v>EP-04</x:v>
      </x:c>
      <x:c r="D142" s="20" t="str">
        <x:v>S4-04</x:v>
      </x:c>
      <x:c r="E142" s="20" t="str">
        <x:v>S4-04-AC02</x:v>
      </x:c>
      <x:c r="F142" s="20" t="str">
        <x:v>Đăng tin &amp; Ứng tuyển</x:v>
      </x:c>
      <x:c r="G142" s="20" t="str">
        <x:v>Kết quả bóc tách hiển thị để recruiter xác nhận hoặc sửa, không tự ghi đè</x:v>
      </x:c>
      <x:c r="H142" s="20" t="str">
        <x:v>Negative / RBAC</x:v>
      </x:c>
      <x:c r="I142" s="20" t="str">
        <x:v>Medium</x:v>
      </x:c>
      <x:c r="J142" s="20" t="str">
        <x:v>Nhân viên tuyển dụng</x:v>
      </x:c>
      <x:c r="K142" s="20" t="str">
        <x:v>Có tin đã duyệt/đang tuyển, ứng viên giả lập và hộp thư test.</x:v>
      </x:c>
      <x:c r="L142" s="20" t="str">
        <x:v>job QA-TEST-001; ứng viên Nguyễn Minh Test; candidate01@example.test; 0900000001; CV mẫu</x:v>
      </x:c>
      <x:c r="M142" s="20" t="str">
        <x:v>1. Chuẩn bị dữ liệu: Có tin đã duyệt/đang tuyển, ứng viên giả lập và hộp thư test.
2. Đăng nhập bằng tài khoản vai trò 'Nhân viên tuyển dụng' được phép thao tác.
3. Mở chức năng 'có thông tin cơ bản của ứng viên được điền sẵn từ tệp CV'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142" s="20" t="str">
        <x:v>Kết quả bóc tách hiển thị để recruiter xác nhận hoặc sửa, không tự ghi đè</x:v>
      </x:c>
      <x:c r="O142" s="20" t="str"/>
      <x:c r="P142" s="20" t="str">
        <x:v>Chưa chạy</x:v>
      </x:c>
      <x:c r="Q142" s="20" t="str"/>
      <x:c r="R142" s="20" t="str"/>
      <x:c r="S142" s="26" t="str"/>
      <x:c r="T142" s="20" t="str">
        <x:v>Cân nhắc</x:v>
      </x:c>
      <x:c r="U142" s="20" t="str">
        <x:v>Nguồn: 4. Product Backlog!F46, tiêu chí 2</x:v>
      </x:c>
      <x:c r="V142" s="20" t="str">
        <x:v>S4-04</x:v>
      </x:c>
      <x:c r="W142" s="20" t="str">
        <x:v>Backlog / AC</x:v>
      </x:c>
    </x:row>
    <x:row r="143" ht="92" customHeight="1">
      <x:c r="A143" s="20" t="str">
        <x:v>TC-S4-04-03</x:v>
      </x:c>
      <x:c r="B143" s="20" t="n">
        <x:v>4</x:v>
      </x:c>
      <x:c r="C143" s="20" t="str">
        <x:v>EP-04</x:v>
      </x:c>
      <x:c r="D143" s="20" t="str">
        <x:v>S4-04</x:v>
      </x:c>
      <x:c r="E143" s="20" t="str">
        <x:v>S4-04-AC03</x:v>
      </x:c>
      <x:c r="F143" s="20" t="str">
        <x:v>Đăng tin &amp; Ứng tuyển</x:v>
      </x:c>
      <x:c r="G143" s="20" t="str">
        <x:v>Bóc tách thất bại không làm hỏng việc nộp hồ sơ</x:v>
      </x:c>
      <x:c r="H143" s="20" t="str">
        <x:v>Functional</x:v>
      </x:c>
      <x:c r="I143" s="20" t="str">
        <x:v>Medium</x:v>
      </x:c>
      <x:c r="J143" s="20" t="str">
        <x:v>Nhân viên tuyển dụng</x:v>
      </x:c>
      <x:c r="K143" s="20" t="str">
        <x:v>Có tin đã duyệt/đang tuyển, ứng viên giả lập và hộp thư test.</x:v>
      </x:c>
      <x:c r="L143" s="20" t="str">
        <x:v>job QA-TEST-001; ứng viên Nguyễn Minh Test; candidate01@example.test; 0900000001; CV mẫu</x:v>
      </x:c>
      <x:c r="M143" s="20" t="str">
        <x:v>1. Chuẩn bị dữ liệu: Có tin đã duyệt/đang tuyển, ứng viên giả lập và hộp thư test.
2. Đăng nhập bằng tài khoản vai trò 'Nhân viên tuyển dụng' được phép thao tác.
3. Mở chức năng 'có thông tin cơ bản của ứng viên được điền sẵn từ tệp CV' trên môi trường staging.
4. Tải PDF scan không có text hoặc parser trả lỗi
5. kiểm tra CV gốc và form nộp hồ sơ vẫn hoạt động.
6. Ghi kết quả thực tế và đối chiếu tiêu chí S4-04-AC03.</x:v>
      </x:c>
      <x:c r="N143" s="20" t="str">
        <x:v>Bóc tách thất bại không làm hỏng việc nộp hồ sơ</x:v>
      </x:c>
      <x:c r="O143" s="20" t="str"/>
      <x:c r="P143" s="20" t="str">
        <x:v>Chưa chạy</x:v>
      </x:c>
      <x:c r="Q143" s="20" t="str"/>
      <x:c r="R143" s="20" t="str"/>
      <x:c r="S143" s="26" t="str"/>
      <x:c r="T143" s="20" t="str">
        <x:v>Cân nhắc</x:v>
      </x:c>
      <x:c r="U143" s="20" t="str">
        <x:v>Nguồn: 4. Product Backlog!F46, tiêu chí 3</x:v>
      </x:c>
      <x:c r="V143" s="20" t="str">
        <x:v>S4-04</x:v>
      </x:c>
      <x:c r="W143" s="20" t="str">
        <x:v>Backlog / AC</x:v>
      </x:c>
    </x:row>
    <x:row r="144" ht="92" customHeight="1">
      <x:c r="A144" s="20" t="str">
        <x:v>TC-S4-04-X01</x:v>
      </x:c>
      <x:c r="B144" s="20" t="n">
        <x:v>4</x:v>
      </x:c>
      <x:c r="C144" s="20" t="str">
        <x:v>EP-04</x:v>
      </x:c>
      <x:c r="D144" s="20" t="str">
        <x:v>S4-04</x:v>
      </x:c>
      <x:c r="E144" s="20" t="str">
        <x:v>QA-EXTRA</x:v>
      </x:c>
      <x:c r="F144" s="20" t="str">
        <x:v>Đăng tin &amp; Ứng tuyển</x:v>
      </x:c>
      <x:c r="G144" s="20" t="str">
        <x:v>Không để lỗi bóc tách CV gây mất hồ sơ gốc</x:v>
      </x:c>
      <x:c r="H144" s="20" t="str">
        <x:v>Integration</x:v>
      </x:c>
      <x:c r="I144" s="20" t="str">
        <x:v>Medium</x:v>
      </x:c>
      <x:c r="J144" s="20" t="str">
        <x:v>Nhân viên tuyển dụng</x:v>
      </x:c>
      <x:c r="K144" s="20" t="str">
        <x:v>Có tin đã duyệt/đang tuyển, ứng viên giả lập và hộp thư test.</x:v>
      </x:c>
      <x:c r="L144" s="20" t="str">
        <x:v>PDF scan không có text; OCR/parser trả lỗi</x:v>
      </x:c>
      <x:c r="M144" s="20" t="str">
        <x:v>1. Nộp CV hợp lệ
2. Mô phỏng parser lỗi
3. Kiểm tra trạng thái hồ sơ và file gốc</x:v>
      </x:c>
      <x:c r="N144" s="20" t="str">
        <x:v>Hồ sơ vẫn nộp thành công; có cảnh báo bóc tách thất bại; không ghi thông tin bịa đặt</x:v>
      </x:c>
      <x:c r="O144" s="20" t="str"/>
      <x:c r="P144" s="20" t="str">
        <x:v>Chưa chạy</x:v>
      </x:c>
      <x:c r="Q144" s="20" t="str"/>
      <x:c r="R144" s="20" t="str"/>
      <x:c r="S144" s="26" t="str"/>
      <x:c r="T144" s="20" t="str">
        <x:v>Cân nhắc</x:v>
      </x:c>
      <x:c r="U144" s="20" t="str">
        <x:v>Kịch bản rủi ro/biên; nếu vượt yêu cầu backlog, xác nhận PO.</x:v>
      </x:c>
      <x:c r="V144" s="20" t="str">
        <x:v>S4-04</x:v>
      </x:c>
      <x:c r="W144" s="20" t="str">
        <x:v>Bổ sung QA</x:v>
      </x:c>
    </x:row>
    <x:row r="145" ht="92" customHeight="1">
      <x:c r="A145" s="20" t="str">
        <x:v>TC-S4-05-01</x:v>
      </x:c>
      <x:c r="B145" s="20" t="n">
        <x:v>4</x:v>
      </x:c>
      <x:c r="C145" s="20" t="str">
        <x:v>EP-04</x:v>
      </x:c>
      <x:c r="D145" s="20" t="str">
        <x:v>S4-05</x:v>
      </x:c>
      <x:c r="E145" s="20" t="str">
        <x:v>S4-05-AC01</x:v>
      </x:c>
      <x:c r="F145" s="20" t="str">
        <x:v>Đăng tin &amp; Ứng tuyển</x:v>
      </x:c>
      <x:c r="G145" s="20" t="str">
        <x:v>Nhập mã tra cứu và email để xem trạng thái</x:v>
      </x:c>
      <x:c r="H145" s="20" t="str">
        <x:v>Functional</x:v>
      </x:c>
      <x:c r="I145" s="20" t="str">
        <x:v>Critical</x:v>
      </x:c>
      <x:c r="J145" s="20" t="str">
        <x:v>Ứng viên</x:v>
      </x:c>
      <x:c r="K145" s="20" t="str">
        <x:v>Có tin đã duyệt/đang tuyển, ứng viên giả lập và hộp thư test.</x:v>
      </x:c>
      <x:c r="L145" s="20" t="str">
        <x:v>job QA-TEST-001; ứng viên Nguyễn Minh Test; candidate01@example.test; 0900000001; CV mẫu</x:v>
      </x:c>
      <x:c r="M145" s="20" t="str">
        <x:v>1. Chuẩn bị dữ liệu: Có tin đã duyệt/đang tuyển, ứng viên giả lập và hộp thư test.
2. Mở cổng tuyển dụng công khai / đường dẫn gửi tới ứng viên.
3. Mở chức năng 'tra cứu trạng thái hồ sơ của mình bằng mã tra cứu' trên môi trường staging.
4. Thực hiện thao tác phát sinh email/thông báo; đọc hộp thư sandbox và thông báo trong ứng dụng.
5. Đối chiếu người nhận, nội dung, thời điểm, trạng thái và việc chống gửi trùng.</x:v>
      </x:c>
      <x:c r="N145" s="20" t="str">
        <x:v>Nhập mã tra cứu và email để xem trạng thái</x:v>
      </x:c>
      <x:c r="O145" s="20" t="str"/>
      <x:c r="P145" s="20" t="str">
        <x:v>Chưa chạy</x:v>
      </x:c>
      <x:c r="Q145" s="20" t="str"/>
      <x:c r="R145" s="20" t="str"/>
      <x:c r="S145" s="26" t="str"/>
      <x:c r="T145" s="20" t="str">
        <x:v>Ưu tiên tự động hóa</x:v>
      </x:c>
      <x:c r="U145" s="20" t="str">
        <x:v>Nguồn: 4. Product Backlog!F47, tiêu chí 1</x:v>
      </x:c>
      <x:c r="V145" s="20" t="str">
        <x:v>S4-05</x:v>
      </x:c>
      <x:c r="W145" s="20" t="str">
        <x:v>Backlog / AC</x:v>
      </x:c>
    </x:row>
    <x:row r="146" ht="92" customHeight="1">
      <x:c r="A146" s="20" t="str">
        <x:v>TC-S4-05-02</x:v>
      </x:c>
      <x:c r="B146" s="20" t="n">
        <x:v>4</x:v>
      </x:c>
      <x:c r="C146" s="20" t="str">
        <x:v>EP-04</x:v>
      </x:c>
      <x:c r="D146" s="20" t="str">
        <x:v>S4-05</x:v>
      </x:c>
      <x:c r="E146" s="20" t="str">
        <x:v>S4-05-AC02</x:v>
      </x:c>
      <x:c r="F146" s="20" t="str">
        <x:v>Đăng tin &amp; Ứng tuyển</x:v>
      </x:c>
      <x:c r="G146" s="20" t="str">
        <x:v>Chỉ hiển thị trạng thái ở mức tổng quát: Đã nhận, Đang xem xét, Mời phỏng vấn, Kết thúc</x:v>
      </x:c>
      <x:c r="H146" s="20" t="str">
        <x:v>Negative / RBAC</x:v>
      </x:c>
      <x:c r="I146" s="20" t="str">
        <x:v>Critical</x:v>
      </x:c>
      <x:c r="J146" s="20" t="str">
        <x:v>Ứng viên</x:v>
      </x:c>
      <x:c r="K146" s="20" t="str">
        <x:v>Có tin đã duyệt/đang tuyển, ứng viên giả lập và hộp thư test.</x:v>
      </x:c>
      <x:c r="L146" s="20" t="str">
        <x:v>job QA-TEST-001; ứng viên Nguyễn Minh Test; candidate01@example.test; 0900000001; CV mẫu</x:v>
      </x:c>
      <x:c r="M146" s="20" t="str">
        <x:v>1. Chuẩn bị dữ liệu: Có tin đã duyệt/đang tuyển, ứng viên giả lập và hộp thư test.
2. Mở cổng tuyển dụng công khai / đường dẫn gửi tới ứng viên.
3. Mở chức năng 'tra cứu trạng thái hồ sơ của mình bằng mã tra cứu'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146" s="20" t="str">
        <x:v>Chỉ hiển thị trạng thái ở mức tổng quát: Đã nhận, Đang xem xét, Mời phỏng vấn, Kết thúc</x:v>
      </x:c>
      <x:c r="O146" s="20" t="str"/>
      <x:c r="P146" s="20" t="str">
        <x:v>Chưa chạy</x:v>
      </x:c>
      <x:c r="Q146" s="20" t="str"/>
      <x:c r="R146" s="20" t="str"/>
      <x:c r="S146" s="26" t="str"/>
      <x:c r="T146" s="20" t="str">
        <x:v>Ưu tiên tự động hóa</x:v>
      </x:c>
      <x:c r="U146" s="20" t="str">
        <x:v>Nguồn: 4. Product Backlog!F47, tiêu chí 2</x:v>
      </x:c>
      <x:c r="V146" s="20" t="str">
        <x:v>S4-05</x:v>
      </x:c>
      <x:c r="W146" s="20" t="str">
        <x:v>Backlog / AC</x:v>
      </x:c>
    </x:row>
    <x:row r="147" ht="92" customHeight="1">
      <x:c r="A147" s="20" t="str">
        <x:v>TC-S4-05-03</x:v>
      </x:c>
      <x:c r="B147" s="20" t="n">
        <x:v>4</x:v>
      </x:c>
      <x:c r="C147" s="20" t="str">
        <x:v>EP-04</x:v>
      </x:c>
      <x:c r="D147" s="20" t="str">
        <x:v>S4-05</x:v>
      </x:c>
      <x:c r="E147" s="20" t="str">
        <x:v>S4-05-AC03</x:v>
      </x:c>
      <x:c r="F147" s="20" t="str">
        <x:v>Đăng tin &amp; Ứng tuyển</x:v>
      </x:c>
      <x:c r="G147" s="20" t="str">
        <x:v>Không tiết lộ nhận xét nội bộ hay tên người phỏng vấn</x:v>
      </x:c>
      <x:c r="H147" s="20" t="str">
        <x:v>Negative / RBAC</x:v>
      </x:c>
      <x:c r="I147" s="20" t="str">
        <x:v>Critical</x:v>
      </x:c>
      <x:c r="J147" s="20" t="str">
        <x:v>Ứng viên</x:v>
      </x:c>
      <x:c r="K147" s="20" t="str">
        <x:v>Có tin đã duyệt/đang tuyển, ứng viên giả lập và hộp thư test.</x:v>
      </x:c>
      <x:c r="L147" s="20" t="str">
        <x:v>job QA-TEST-001; ứng viên Nguyễn Minh Test; candidate01@example.test; 0900000001; CV mẫu</x:v>
      </x:c>
      <x:c r="M147" s="20" t="str">
        <x:v>1. Chuẩn bị dữ liệu: Có tin đã duyệt/đang tuyển, ứng viên giả lập và hộp thư test.
2. Mở cổng tuyển dụng công khai / đường dẫn gửi tới ứng viên.
3. Mở chức năng 'tra cứu trạng thái hồ sơ của mình bằng mã tra cứu'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147" s="20" t="str">
        <x:v>Không tiết lộ nhận xét nội bộ hay tên người phỏng vấn</x:v>
      </x:c>
      <x:c r="O147" s="20" t="str"/>
      <x:c r="P147" s="20" t="str">
        <x:v>Chưa chạy</x:v>
      </x:c>
      <x:c r="Q147" s="20" t="str"/>
      <x:c r="R147" s="20" t="str"/>
      <x:c r="S147" s="26" t="str"/>
      <x:c r="T147" s="20" t="str">
        <x:v>Ưu tiên tự động hóa</x:v>
      </x:c>
      <x:c r="U147" s="20" t="str">
        <x:v>Nguồn: 4. Product Backlog!F47, tiêu chí 3</x:v>
      </x:c>
      <x:c r="V147" s="20" t="str">
        <x:v>S4-05</x:v>
      </x:c>
      <x:c r="W147" s="20" t="str">
        <x:v>Backlog / AC</x:v>
      </x:c>
    </x:row>
    <x:row r="148" ht="92" customHeight="1">
      <x:c r="A148" s="20" t="str">
        <x:v>TC-S4-05-X01</x:v>
      </x:c>
      <x:c r="B148" s="20" t="n">
        <x:v>4</x:v>
      </x:c>
      <x:c r="C148" s="20" t="str">
        <x:v>EP-04</x:v>
      </x:c>
      <x:c r="D148" s="20" t="str">
        <x:v>S4-05</x:v>
      </x:c>
      <x:c r="E148" s="20" t="str">
        <x:v>QA-EXTRA</x:v>
      </x:c>
      <x:c r="F148" s="20" t="str">
        <x:v>Đăng tin &amp; Ứng tuyển</x:v>
      </x:c>
      <x:c r="G148" s="20" t="str">
        <x:v>Không đoán được hồ sơ qua mã khi email sai</x:v>
      </x:c>
      <x:c r="H148" s="20" t="str">
        <x:v>Security</x:v>
      </x:c>
      <x:c r="I148" s="20" t="str">
        <x:v>Critical</x:v>
      </x:c>
      <x:c r="J148" s="20" t="str">
        <x:v>Ứng viên</x:v>
      </x:c>
      <x:c r="K148" s="20" t="str">
        <x:v>Có tin đã duyệt/đang tuyển, ứng viên giả lập và hộp thư test.</x:v>
      </x:c>
      <x:c r="L148" s="20" t="str">
        <x:v>Mã tra cứu hợp lệ + email của ứng viên khác</x:v>
      </x:c>
      <x:c r="M148" s="20" t="str">
        <x:v>1. Truy cập tra cứu công khai
2. Nhập mã đúng email sai
3. Thử nhiều mã không tồn tại</x:v>
      </x:c>
      <x:c r="N148" s="20" t="str">
        <x:v>Không trả PII hay trạng thái riêng của ứng viên; lỗi không hỗ trợ dò tồn tại tài khoản</x:v>
      </x:c>
      <x:c r="O148" s="20" t="str"/>
      <x:c r="P148" s="20" t="str">
        <x:v>Chưa chạy</x:v>
      </x:c>
      <x:c r="Q148" s="20" t="str"/>
      <x:c r="R148" s="20" t="str"/>
      <x:c r="S148" s="26" t="str"/>
      <x:c r="T148" s="20" t="str">
        <x:v>Ưu tiên tự động hóa</x:v>
      </x:c>
      <x:c r="U148" s="20" t="str">
        <x:v>Kịch bản rủi ro/biên; nếu vượt yêu cầu backlog, xác nhận PO.</x:v>
      </x:c>
      <x:c r="V148" s="20" t="str">
        <x:v>S4-05</x:v>
      </x:c>
      <x:c r="W148" s="20" t="str">
        <x:v>Bổ sung QA</x:v>
      </x:c>
    </x:row>
    <x:row r="149" ht="92" customHeight="1">
      <x:c r="A149" s="20" t="str">
        <x:v>TC-S4-06-01</x:v>
      </x:c>
      <x:c r="B149" s="20" t="n">
        <x:v>4</x:v>
      </x:c>
      <x:c r="C149" s="20" t="str">
        <x:v>EP-04</x:v>
      </x:c>
      <x:c r="D149" s="20" t="str">
        <x:v>S4-06</x:v>
      </x:c>
      <x:c r="E149" s="20" t="str">
        <x:v>S4-06-AC01</x:v>
      </x:c>
      <x:c r="F149" s="20" t="str">
        <x:v>Đăng tin &amp; Ứng tuyển</x:v>
      </x:c>
      <x:c r="G149" s="20" t="str">
        <x:v>Rút hồ sơ qua liên kết trong email xác nhận, có xác nhận lại trước khi thực hiện</x:v>
      </x:c>
      <x:c r="H149" s="20" t="str">
        <x:v>Functional</x:v>
      </x:c>
      <x:c r="I149" s="20" t="str">
        <x:v>Medium</x:v>
      </x:c>
      <x:c r="J149" s="20" t="str">
        <x:v>Ứng viên</x:v>
      </x:c>
      <x:c r="K149" s="20" t="str">
        <x:v>Có tin đã duyệt/đang tuyển, ứng viên giả lập và hộp thư test.</x:v>
      </x:c>
      <x:c r="L149" s="20" t="str">
        <x:v>job QA-TEST-001; ứng viên Nguyễn Minh Test; candidate01@example.test; 0900000001; CV mẫu</x:v>
      </x:c>
      <x:c r="M149" s="20" t="str">
        <x:v>1. Chuẩn bị dữ liệu: Có tin đã duyệt/đang tuyển, ứng viên giả lập và hộp thư test.
2. Mở cổng tuyển dụng công khai / đường dẫn gửi tới ứng viên.
3. Mở chức năng 'rút hồ sơ ứng tuyển của mình' trên môi trường staging.
4. Thực hiện thao tác phát sinh email/thông báo; đọc hộp thư sandbox và thông báo trong ứng dụng.
5. Đối chiếu người nhận, nội dung, thời điểm, trạng thái và việc chống gửi trùng.</x:v>
      </x:c>
      <x:c r="N149" s="20" t="str">
        <x:v>Rút hồ sơ qua liên kết trong email xác nhận, có xác nhận lại trước khi thực hiện</x:v>
      </x:c>
      <x:c r="O149" s="20" t="str"/>
      <x:c r="P149" s="20" t="str">
        <x:v>Chưa chạy</x:v>
      </x:c>
      <x:c r="Q149" s="20" t="str"/>
      <x:c r="R149" s="20" t="str"/>
      <x:c r="S149" s="26" t="str"/>
      <x:c r="T149" s="20" t="str">
        <x:v>Cân nhắc</x:v>
      </x:c>
      <x:c r="U149" s="20" t="str">
        <x:v>Nguồn: 4. Product Backlog!F48, tiêu chí 1</x:v>
      </x:c>
      <x:c r="V149" s="20" t="str">
        <x:v>S4-06</x:v>
      </x:c>
      <x:c r="W149" s="20" t="str">
        <x:v>Backlog / AC</x:v>
      </x:c>
    </x:row>
    <x:row r="150" ht="92" customHeight="1">
      <x:c r="A150" s="20" t="str">
        <x:v>TC-S4-06-02</x:v>
      </x:c>
      <x:c r="B150" s="20" t="n">
        <x:v>4</x:v>
      </x:c>
      <x:c r="C150" s="20" t="str">
        <x:v>EP-04</x:v>
      </x:c>
      <x:c r="D150" s="20" t="str">
        <x:v>S4-06</x:v>
      </x:c>
      <x:c r="E150" s="20" t="str">
        <x:v>S4-06-AC02</x:v>
      </x:c>
      <x:c r="F150" s="20" t="str">
        <x:v>Đăng tin &amp; Ứng tuyển</x:v>
      </x:c>
      <x:c r="G150" s="20" t="str">
        <x:v>Hồ sơ chuyển sang trạng thái Ứng viên rút và biến mất khỏi pipeline đang hoạt động</x:v>
      </x:c>
      <x:c r="H150" s="20" t="str">
        <x:v>Functional</x:v>
      </x:c>
      <x:c r="I150" s="20" t="str">
        <x:v>Medium</x:v>
      </x:c>
      <x:c r="J150" s="20" t="str">
        <x:v>Ứng viên</x:v>
      </x:c>
      <x:c r="K150" s="20" t="str">
        <x:v>Có tin đã duyệt/đang tuyển, ứng viên giả lập và hộp thư test.</x:v>
      </x:c>
      <x:c r="L150" s="20" t="str">
        <x:v>job QA-TEST-001; ứng viên Nguyễn Minh Test; candidate01@example.test; 0900000001; CV mẫu</x:v>
      </x:c>
      <x:c r="M150" s="20" t="str">
        <x:v>1. Chuẩn bị dữ liệu: Có tin đã duyệt/đang tuyển, ứng viên giả lập và hộp thư test.
2. Mở cổng tuyển dụng công khai / đường dẫn gửi tới ứng viên.
3. Mở chức năng 'rút hồ sơ ứng tuyển của mình' trên môi trường staging.
4. Ứng viên rút hồ sơ qua link hợp lệ
5. recruiter tải lại kanban, tra cứu hồ sơ theo mã và đọc trạng thái rút.
6. Ghi kết quả thực tế và đối chiếu tiêu chí S4-06-AC02.</x:v>
      </x:c>
      <x:c r="N150" s="20" t="str">
        <x:v>Hồ sơ chuyển sang trạng thái Ứng viên rút và biến mất khỏi pipeline đang hoạt động</x:v>
      </x:c>
      <x:c r="O150" s="20" t="str"/>
      <x:c r="P150" s="20" t="str">
        <x:v>Chưa chạy</x:v>
      </x:c>
      <x:c r="Q150" s="20" t="str"/>
      <x:c r="R150" s="20" t="str"/>
      <x:c r="S150" s="26" t="str"/>
      <x:c r="T150" s="20" t="str">
        <x:v>Cân nhắc</x:v>
      </x:c>
      <x:c r="U150" s="20" t="str">
        <x:v>Nguồn: 4. Product Backlog!F48, tiêu chí 2</x:v>
      </x:c>
      <x:c r="V150" s="20" t="str">
        <x:v>S4-06</x:v>
      </x:c>
      <x:c r="W150" s="20" t="str">
        <x:v>Backlog / AC</x:v>
      </x:c>
    </x:row>
    <x:row r="151" ht="92" customHeight="1">
      <x:c r="A151" s="20" t="str">
        <x:v>TC-S4-06-03</x:v>
      </x:c>
      <x:c r="B151" s="20" t="n">
        <x:v>4</x:v>
      </x:c>
      <x:c r="C151" s="20" t="str">
        <x:v>EP-04</x:v>
      </x:c>
      <x:c r="D151" s="20" t="str">
        <x:v>S4-06</x:v>
      </x:c>
      <x:c r="E151" s="20" t="str">
        <x:v>S4-06-AC03</x:v>
      </x:c>
      <x:c r="F151" s="20" t="str">
        <x:v>Đăng tin &amp; Ứng tuyển</x:v>
      </x:c>
      <x:c r="G151" s="20" t="str">
        <x:v>Recruiter phụ trách nhận thông báo</x:v>
      </x:c>
      <x:c r="H151" s="20" t="str">
        <x:v>Functional</x:v>
      </x:c>
      <x:c r="I151" s="20" t="str">
        <x:v>Medium</x:v>
      </x:c>
      <x:c r="J151" s="20" t="str">
        <x:v>Ứng viên</x:v>
      </x:c>
      <x:c r="K151" s="20" t="str">
        <x:v>Có tin đã duyệt/đang tuyển, ứng viên giả lập và hộp thư test.</x:v>
      </x:c>
      <x:c r="L151" s="20" t="str">
        <x:v>job QA-TEST-001; ứng viên Nguyễn Minh Test; candidate01@example.test; 0900000001; CV mẫu</x:v>
      </x:c>
      <x:c r="M151" s="20" t="str">
        <x:v>1. Chuẩn bị dữ liệu: Có tin đã duyệt/đang tuyển, ứng viên giả lập và hộp thư test.
2. Mở cổng tuyển dụng công khai / đường dẫn gửi tới ứng viên.
3. Mở chức năng 'rút hồ sơ ứng tuyển của mình' trên môi trường staging.
4. Thực hiện thao tác phát sinh email/thông báo; đọc hộp thư sandbox và thông báo trong ứng dụng.
5. Đối chiếu người nhận, nội dung, thời điểm, trạng thái và việc chống gửi trùng.</x:v>
      </x:c>
      <x:c r="N151" s="20" t="str">
        <x:v>Recruiter phụ trách nhận thông báo</x:v>
      </x:c>
      <x:c r="O151" s="20" t="str"/>
      <x:c r="P151" s="20" t="str">
        <x:v>Chưa chạy</x:v>
      </x:c>
      <x:c r="Q151" s="20" t="str"/>
      <x:c r="R151" s="20" t="str"/>
      <x:c r="S151" s="26" t="str"/>
      <x:c r="T151" s="20" t="str">
        <x:v>Cân nhắc</x:v>
      </x:c>
      <x:c r="U151" s="20" t="str">
        <x:v>Nguồn: 4. Product Backlog!F48, tiêu chí 3</x:v>
      </x:c>
      <x:c r="V151" s="20" t="str">
        <x:v>S4-06</x:v>
      </x:c>
      <x:c r="W151" s="20" t="str">
        <x:v>Backlog / AC</x:v>
      </x:c>
    </x:row>
    <x:row r="152" ht="92" customHeight="1">
      <x:c r="A152" s="20" t="str">
        <x:v>TC-S4-06-X01</x:v>
      </x:c>
      <x:c r="B152" s="20" t="n">
        <x:v>4</x:v>
      </x:c>
      <x:c r="C152" s="20" t="str">
        <x:v>EP-04</x:v>
      </x:c>
      <x:c r="D152" s="20" t="str">
        <x:v>S4-06</x:v>
      </x:c>
      <x:c r="E152" s="20" t="str">
        <x:v>QA-EXTRA</x:v>
      </x:c>
      <x:c r="F152" s="20" t="str">
        <x:v>Đăng tin &amp; Ứng tuyển</x:v>
      </x:c>
      <x:c r="G152" s="20" t="str">
        <x:v>Liên kết rút hồ sơ dùng lại</x:v>
      </x:c>
      <x:c r="H152" s="20" t="str">
        <x:v>Security</x:v>
      </x:c>
      <x:c r="I152" s="20" t="str">
        <x:v>Medium</x:v>
      </x:c>
      <x:c r="J152" s="20" t="str">
        <x:v>Ứng viên</x:v>
      </x:c>
      <x:c r="K152" s="20" t="str">
        <x:v>Có tin đã duyệt/đang tuyển, ứng viên giả lập và hộp thư test.</x:v>
      </x:c>
      <x:c r="L152" s="20" t="str">
        <x:v>Link rút hồ sơ đã xác nhận</x:v>
      </x:c>
      <x:c r="M152" s="20" t="str">
        <x:v>1. Rút hồ sơ hợp lệ
2. Mở lại link
3. Thử gửi hai request cùng lúc</x:v>
      </x:c>
      <x:c r="N152" s="20" t="str">
        <x:v>Hồ sơ chỉ rút một lần; không phát sinh thông báo hoặc side effect trùng</x:v>
      </x:c>
      <x:c r="O152" s="20" t="str"/>
      <x:c r="P152" s="20" t="str">
        <x:v>Chưa chạy</x:v>
      </x:c>
      <x:c r="Q152" s="20" t="str"/>
      <x:c r="R152" s="20" t="str"/>
      <x:c r="S152" s="26" t="str"/>
      <x:c r="T152" s="20" t="str">
        <x:v>Cân nhắc</x:v>
      </x:c>
      <x:c r="U152" s="20" t="str">
        <x:v>Kịch bản rủi ro/biên; nếu vượt yêu cầu backlog, xác nhận PO.</x:v>
      </x:c>
      <x:c r="V152" s="20" t="str">
        <x:v>S4-06</x:v>
      </x:c>
      <x:c r="W152" s="20" t="str">
        <x:v>Bổ sung QA</x:v>
      </x:c>
    </x:row>
    <x:row r="153" ht="92" customHeight="1">
      <x:c r="A153" s="20" t="str">
        <x:v>TC-S4-07-01</x:v>
      </x:c>
      <x:c r="B153" s="20" t="n">
        <x:v>4</x:v>
      </x:c>
      <x:c r="C153" s="20" t="str">
        <x:v>EP-04</x:v>
      </x:c>
      <x:c r="D153" s="20" t="str">
        <x:v>S4-07</x:v>
      </x:c>
      <x:c r="E153" s="20" t="str">
        <x:v>S4-07-AC01</x:v>
      </x:c>
      <x:c r="F153" s="20" t="str">
        <x:v>Đăng tin &amp; Ứng tuyển</x:v>
      </x:c>
      <x:c r="G153" s="20" t="str">
        <x:v>Nhân viên nội bộ nộp hồ sơ giúp người quen kèm ghi chú giới thiệu</x:v>
      </x:c>
      <x:c r="H153" s="20" t="str">
        <x:v>Functional</x:v>
      </x:c>
      <x:c r="I153" s="20" t="str">
        <x:v>Medium</x:v>
      </x:c>
      <x:c r="J153" s="20" t="str">
        <x:v>nhân sự nội bộ</x:v>
      </x:c>
      <x:c r="K153" s="20" t="str">
        <x:v>Có tin đã duyệt/đang tuyển, ứng viên giả lập và hộp thư test.</x:v>
      </x:c>
      <x:c r="L153" s="20" t="str">
        <x:v>job QA-TEST-001; ứng viên Nguyễn Minh Test; candidate01@example.test; 0900000001; CV mẫu</x:v>
      </x:c>
      <x:c r="M153" s="20" t="str">
        <x:v>1. Chuẩn bị dữ liệu: Có tin đã duyệt/đang tuyển, ứng viên giả lập và hộp thư test.
2. Đăng nhập bằng tài khoản vai trò 'nhân sự nội bộ' được phép thao tác.
3. Mở chức năng 'giới thiệu ứng viên cho một vị trí đang tuyển' trên môi trường staging.
4. Nhân viên nội bộ mở Referral
5. chọn JOB-A
6. nhập ứng viên mới, ghi lời giới thiệu và tải CV.
7. Ghi kết quả thực tế và đối chiếu tiêu chí S4-07-AC01.</x:v>
      </x:c>
      <x:c r="N153" s="20" t="str">
        <x:v>Nhân viên nội bộ nộp hồ sơ giúp người quen kèm ghi chú giới thiệu</x:v>
      </x:c>
      <x:c r="O153" s="20" t="str"/>
      <x:c r="P153" s="20" t="str">
        <x:v>Chưa chạy</x:v>
      </x:c>
      <x:c r="Q153" s="20" t="str"/>
      <x:c r="R153" s="20" t="str"/>
      <x:c r="S153" s="26" t="str"/>
      <x:c r="T153" s="20" t="str">
        <x:v>Cân nhắc</x:v>
      </x:c>
      <x:c r="U153" s="20" t="str">
        <x:v>Nguồn: 4. Product Backlog!F49, tiêu chí 1</x:v>
      </x:c>
      <x:c r="V153" s="20" t="str">
        <x:v>S4-07</x:v>
      </x:c>
      <x:c r="W153" s="20" t="str">
        <x:v>Backlog / AC</x:v>
      </x:c>
    </x:row>
    <x:row r="154" ht="92" customHeight="1">
      <x:c r="A154" s="20" t="str">
        <x:v>TC-S4-07-02</x:v>
      </x:c>
      <x:c r="B154" s="20" t="n">
        <x:v>4</x:v>
      </x:c>
      <x:c r="C154" s="20" t="str">
        <x:v>EP-04</x:v>
      </x:c>
      <x:c r="D154" s="20" t="str">
        <x:v>S4-07</x:v>
      </x:c>
      <x:c r="E154" s="20" t="str">
        <x:v>S4-07-AC02</x:v>
      </x:c>
      <x:c r="F154" s="20" t="str">
        <x:v>Đăng tin &amp; Ứng tuyển</x:v>
      </x:c>
      <x:c r="G154" s="20" t="str">
        <x:v>Hồ sơ được gắn nhãn nguồn Giới thiệu nội bộ và tên người giới thiệu</x:v>
      </x:c>
      <x:c r="H154" s="20" t="str">
        <x:v>Functional</x:v>
      </x:c>
      <x:c r="I154" s="20" t="str">
        <x:v>Medium</x:v>
      </x:c>
      <x:c r="J154" s="20" t="str">
        <x:v>nhân sự nội bộ</x:v>
      </x:c>
      <x:c r="K154" s="20" t="str">
        <x:v>Có tin đã duyệt/đang tuyển, ứng viên giả lập và hộp thư test.</x:v>
      </x:c>
      <x:c r="L154" s="20" t="str">
        <x:v>job QA-TEST-001; ứng viên Nguyễn Minh Test; candidate01@example.test; 0900000001; CV mẫu</x:v>
      </x:c>
      <x:c r="M154" s="20" t="str">
        <x:v>1. Chuẩn bị dữ liệu: Có tin đã duyệt/đang tuyển, ứng viên giả lập và hộp thư test.
2. Đăng nhập bằng tài khoản vai trò 'nhân sự nội bộ' được phép thao tác.
3. Mở chức năng 'giới thiệu ứng viên cho một vị trí đang tuyển' trên môi trường staging.
4. Nộp referral hợp lệ
5. recruiter mở profile ứng viên
6. đối chiếu nguồn và người giới thiệu.
7. Ghi kết quả thực tế và đối chiếu tiêu chí S4-07-AC02.</x:v>
      </x:c>
      <x:c r="N154" s="20" t="str">
        <x:v>Hồ sơ được gắn nhãn nguồn Giới thiệu nội bộ và tên người giới thiệu</x:v>
      </x:c>
      <x:c r="O154" s="20" t="str"/>
      <x:c r="P154" s="20" t="str">
        <x:v>Chưa chạy</x:v>
      </x:c>
      <x:c r="Q154" s="20" t="str"/>
      <x:c r="R154" s="20" t="str"/>
      <x:c r="S154" s="26" t="str"/>
      <x:c r="T154" s="20" t="str">
        <x:v>Cân nhắc</x:v>
      </x:c>
      <x:c r="U154" s="20" t="str">
        <x:v>Nguồn: 4. Product Backlog!F49, tiêu chí 2</x:v>
      </x:c>
      <x:c r="V154" s="20" t="str">
        <x:v>S4-07</x:v>
      </x:c>
      <x:c r="W154" s="20" t="str">
        <x:v>Backlog / AC</x:v>
      </x:c>
    </x:row>
    <x:row r="155" ht="92" customHeight="1">
      <x:c r="A155" s="20" t="str">
        <x:v>TC-S4-07-03</x:v>
      </x:c>
      <x:c r="B155" s="20" t="n">
        <x:v>4</x:v>
      </x:c>
      <x:c r="C155" s="20" t="str">
        <x:v>EP-04</x:v>
      </x:c>
      <x:c r="D155" s="20" t="str">
        <x:v>S4-07</x:v>
      </x:c>
      <x:c r="E155" s="20" t="str">
        <x:v>S4-07-AC03</x:v>
      </x:c>
      <x:c r="F155" s="20" t="str">
        <x:v>Đăng tin &amp; Ứng tuyển</x:v>
      </x:c>
      <x:c r="G155" s="20" t="str">
        <x:v>Người giới thiệu theo dõi được trạng thái ở mức tổng quát</x:v>
      </x:c>
      <x:c r="H155" s="20" t="str">
        <x:v>Functional</x:v>
      </x:c>
      <x:c r="I155" s="20" t="str">
        <x:v>Medium</x:v>
      </x:c>
      <x:c r="J155" s="20" t="str">
        <x:v>nhân sự nội bộ</x:v>
      </x:c>
      <x:c r="K155" s="20" t="str">
        <x:v>Có tin đã duyệt/đang tuyển, ứng viên giả lập và hộp thư test.</x:v>
      </x:c>
      <x:c r="L155" s="20" t="str">
        <x:v>job QA-TEST-001; ứng viên Nguyễn Minh Test; candidate01@example.test; 0900000001; CV mẫu</x:v>
      </x:c>
      <x:c r="M155" s="20" t="str">
        <x:v>1. Chuẩn bị dữ liệu: Có tin đã duyệt/đang tuyển, ứng viên giả lập và hộp thư test.
2. Đăng nhập bằng tài khoản vai trò 'nhân sự nội bộ' được phép thao tác.
3. Mở chức năng 'giới thiệu ứng viên cho một vị trí đang tuyển' trên môi trường staging.
4. Người giới thiệu đăng nhập
5. mở danh sách referral của mình
6. kiểm tra chỉ trạng thái tổng quát.
7. Ghi kết quả thực tế và đối chiếu tiêu chí S4-07-AC03.</x:v>
      </x:c>
      <x:c r="N155" s="20" t="str">
        <x:v>Người giới thiệu theo dõi được trạng thái ở mức tổng quát</x:v>
      </x:c>
      <x:c r="O155" s="20" t="str"/>
      <x:c r="P155" s="20" t="str">
        <x:v>Chưa chạy</x:v>
      </x:c>
      <x:c r="Q155" s="20" t="str"/>
      <x:c r="R155" s="20" t="str"/>
      <x:c r="S155" s="26" t="str"/>
      <x:c r="T155" s="20" t="str">
        <x:v>Cân nhắc</x:v>
      </x:c>
      <x:c r="U155" s="20" t="str">
        <x:v>Nguồn: 4. Product Backlog!F49, tiêu chí 3</x:v>
      </x:c>
      <x:c r="V155" s="20" t="str">
        <x:v>S4-07</x:v>
      </x:c>
      <x:c r="W155" s="20" t="str">
        <x:v>Backlog / AC</x:v>
      </x:c>
    </x:row>
    <x:row r="156" ht="92" customHeight="1">
      <x:c r="A156" s="20" t="str">
        <x:v>TC-S4-07-X01</x:v>
      </x:c>
      <x:c r="B156" s="20" t="n">
        <x:v>4</x:v>
      </x:c>
      <x:c r="C156" s="20" t="str">
        <x:v>EP-04</x:v>
      </x:c>
      <x:c r="D156" s="20" t="str">
        <x:v>S4-07</x:v>
      </x:c>
      <x:c r="E156" s="20" t="str">
        <x:v>QA-EXTRA</x:v>
      </x:c>
      <x:c r="F156" s="20" t="str">
        <x:v>Đăng tin &amp; Ứng tuyển</x:v>
      </x:c>
      <x:c r="G156" s="20" t="str">
        <x:v>Người giới thiệu chỉ xem trạng thái tổng quát</x:v>
      </x:c>
      <x:c r="H156" s="20" t="str">
        <x:v>Security / RBAC</x:v>
      </x:c>
      <x:c r="I156" s="20" t="str">
        <x:v>Medium</x:v>
      </x:c>
      <x:c r="J156" s="20" t="str">
        <x:v>nhân sự nội bộ</x:v>
      </x:c>
      <x:c r="K156" s="20" t="str">
        <x:v>Có tin đã duyệt/đang tuyển, ứng viên giả lập và hộp thư test.</x:v>
      </x:c>
      <x:c r="L156" s="20" t="str">
        <x:v>Nhân viên A giới thiệu Candidate X</x:v>
      </x:c>
      <x:c r="M156" s="20" t="str">
        <x:v>1. A mở hồ sơ giới thiệu
2. Gọi API đọc ghi chú hoặc phiếu đánh giá</x:v>
      </x:c>
      <x:c r="N156" s="20" t="str">
        <x:v>Chỉ trả trạng thái tổng quát và quyền lợi đã xác định; không tiết lộ ghi chú tuyển dụng</x:v>
      </x:c>
      <x:c r="O156" s="20" t="str"/>
      <x:c r="P156" s="20" t="str">
        <x:v>Chưa chạy</x:v>
      </x:c>
      <x:c r="Q156" s="20" t="str"/>
      <x:c r="R156" s="20" t="str"/>
      <x:c r="S156" s="26" t="str"/>
      <x:c r="T156" s="20" t="str">
        <x:v>Cân nhắc</x:v>
      </x:c>
      <x:c r="U156" s="20" t="str">
        <x:v>Kịch bản rủi ro/biên; nếu vượt yêu cầu backlog, xác nhận PO.</x:v>
      </x:c>
      <x:c r="V156" s="20" t="str">
        <x:v>S4-07</x:v>
      </x:c>
      <x:c r="W156" s="20" t="str">
        <x:v>Bổ sung QA</x:v>
      </x:c>
    </x:row>
    <x:row r="157" ht="92" customHeight="1">
      <x:c r="A157" s="20" t="str">
        <x:v>TC-S4-08-01</x:v>
      </x:c>
      <x:c r="B157" s="20" t="n">
        <x:v>4</x:v>
      </x:c>
      <x:c r="C157" s="20" t="str">
        <x:v>EP-04</x:v>
      </x:c>
      <x:c r="D157" s="20" t="str">
        <x:v>S4-08</x:v>
      </x:c>
      <x:c r="E157" s="20" t="str">
        <x:v>S4-08-AC01</x:v>
      </x:c>
      <x:c r="F157" s="20" t="str">
        <x:v>Đăng tin &amp; Ứng tuyển</x:v>
      </x:c>
      <x:c r="G157" s="20" t="str">
        <x:v>Gỡ tin thủ công bất cứ lúc nào, tin biến mất khỏi trang công khai ngay</x:v>
      </x:c>
      <x:c r="H157" s="20" t="str">
        <x:v>Functional</x:v>
      </x:c>
      <x:c r="I157" s="20" t="str">
        <x:v>High</x:v>
      </x:c>
      <x:c r="J157" s="20" t="str">
        <x:v>Nhân viên tuyển dụng</x:v>
      </x:c>
      <x:c r="K157" s="20" t="str">
        <x:v>Có tin đã duyệt/đang tuyển, ứng viên giả lập và hộp thư test.</x:v>
      </x:c>
      <x:c r="L157" s="20" t="str">
        <x:v>job QA-TEST-001; ứng viên Nguyễn Minh Test; candidate01@example.test; 0900000001; CV mẫu</x:v>
      </x:c>
      <x:c r="M157" s="20" t="str">
        <x:v>1. Chuẩn bị dữ liệu: Có tin đã duyệt/đang tuyển, ứng viên giả lập và hộp thư test.
2. Đăng nhập bằng tài khoản vai trò 'Nhân viên tuyển dụng' được phép thao tác.
3. Mở chức năng 'gỡ tin hoặc' trên môi trường staging.
4. HR gỡ tin đang mở
5. trong tab ẩn danh refresh list và truy cập chi tiết
6. kiểm tra tin không còn public.
7. Ghi kết quả thực tế và đối chiếu tiêu chí S4-08-AC01.</x:v>
      </x:c>
      <x:c r="N157" s="20" t="str">
        <x:v>Gỡ tin thủ công bất cứ lúc nào, tin biến mất khỏi trang công khai ngay</x:v>
      </x:c>
      <x:c r="O157" s="20" t="str"/>
      <x:c r="P157" s="20" t="str">
        <x:v>Chưa chạy</x:v>
      </x:c>
      <x:c r="Q157" s="20" t="str"/>
      <x:c r="R157" s="20" t="str"/>
      <x:c r="S157" s="26" t="str"/>
      <x:c r="T157" s="20" t="str">
        <x:v>Ưu tiên tự động hóa</x:v>
      </x:c>
      <x:c r="U157" s="20" t="str">
        <x:v>Nguồn: 4. Product Backlog!F50, tiêu chí 1</x:v>
      </x:c>
      <x:c r="V157" s="20" t="str">
        <x:v>S4-08</x:v>
      </x:c>
      <x:c r="W157" s="20" t="str">
        <x:v>Backlog / AC</x:v>
      </x:c>
    </x:row>
    <x:row r="158" ht="92" customHeight="1">
      <x:c r="A158" s="20" t="str">
        <x:v>TC-S4-08-02</x:v>
      </x:c>
      <x:c r="B158" s="20" t="n">
        <x:v>4</x:v>
      </x:c>
      <x:c r="C158" s="20" t="str">
        <x:v>EP-04</x:v>
      </x:c>
      <x:c r="D158" s="20" t="str">
        <x:v>S4-08</x:v>
      </x:c>
      <x:c r="E158" s="20" t="str">
        <x:v>S4-08-AC02</x:v>
      </x:c>
      <x:c r="F158" s="20" t="str">
        <x:v>Đăng tin &amp; Ứng tuyển</x:v>
      </x:c>
      <x:c r="G158" s="20" t="str">
        <x:v>Tin quá hạn nhận hồ sơ tự động ẩn bằng tác vụ định kỳ hằng ngày</x:v>
      </x:c>
      <x:c r="H158" s="20" t="str">
        <x:v>Boundary</x:v>
      </x:c>
      <x:c r="I158" s="20" t="str">
        <x:v>High</x:v>
      </x:c>
      <x:c r="J158" s="20" t="str">
        <x:v>Nhân viên tuyển dụng</x:v>
      </x:c>
      <x:c r="K158" s="20" t="str">
        <x:v>Có tin đã duyệt/đang tuyển, ứng viên giả lập và hộp thư test.</x:v>
      </x:c>
      <x:c r="L158" s="20" t="str">
        <x:v>job QA-TEST-001; ứng viên Nguyễn Minh Test; candidate01@example.test; 0900000001; CV mẫu</x:v>
      </x:c>
      <x:c r="M158" s="20" t="str">
        <x:v>1. Chuẩn bị dữ liệu: Có tin đã duyệt/đang tuyển, ứng viên giả lập và hộp thư test.
2. Đăng nhập bằng tài khoản vai trò 'Nhân viên tuyển dụng' được phép thao tác.
3. Mở chức năng 'gỡ tin hoặc' trên môi trường staging.
4. Cho tin quá hạn một ngày
5. chạy daily job trên staging
6. xem public listing và bản ghi trạng thái job.
7. Ghi kết quả thực tế và đối chiếu tiêu chí S4-08-AC02.</x:v>
      </x:c>
      <x:c r="N158" s="20" t="str">
        <x:v>Tin quá hạn nhận hồ sơ tự động ẩn bằng tác vụ định kỳ hằng ngày</x:v>
      </x:c>
      <x:c r="O158" s="20" t="str"/>
      <x:c r="P158" s="20" t="str">
        <x:v>Chưa chạy</x:v>
      </x:c>
      <x:c r="Q158" s="20" t="str"/>
      <x:c r="R158" s="20" t="str"/>
      <x:c r="S158" s="26" t="str"/>
      <x:c r="T158" s="20" t="str">
        <x:v>Ưu tiên tự động hóa</x:v>
      </x:c>
      <x:c r="U158" s="20" t="str">
        <x:v>Nguồn: 4. Product Backlog!F50, tiêu chí 2</x:v>
      </x:c>
      <x:c r="V158" s="20" t="str">
        <x:v>S4-08</x:v>
      </x:c>
      <x:c r="W158" s="20" t="str">
        <x:v>Backlog / AC</x:v>
      </x:c>
    </x:row>
    <x:row r="159" ht="92" customHeight="1">
      <x:c r="A159" s="20" t="str">
        <x:v>TC-S4-08-X01</x:v>
      </x:c>
      <x:c r="B159" s="20" t="n">
        <x:v>4</x:v>
      </x:c>
      <x:c r="C159" s="20" t="str">
        <x:v>EP-04</x:v>
      </x:c>
      <x:c r="D159" s="20" t="str">
        <x:v>S4-08</x:v>
      </x:c>
      <x:c r="E159" s="20" t="str">
        <x:v>QA-EXTRA</x:v>
      </x:c>
      <x:c r="F159" s="20" t="str">
        <x:v>Đăng tin &amp; Ứng tuyển</x:v>
      </x:c>
      <x:c r="G159" s="20" t="str">
        <x:v>Tin quá hạn tự gỡ chỉ một lần và dừng nhận hồ sơ</x:v>
      </x:c>
      <x:c r="H159" s="20" t="str">
        <x:v>Integration</x:v>
      </x:c>
      <x:c r="I159" s="20" t="str">
        <x:v>High</x:v>
      </x:c>
      <x:c r="J159" s="20" t="str">
        <x:v>Nhân viên tuyển dụng</x:v>
      </x:c>
      <x:c r="K159" s="20" t="str">
        <x:v>Có tin đã duyệt/đang tuyển, ứng viên giả lập và hộp thư test.</x:v>
      </x:c>
      <x:c r="L159" s="20" t="str">
        <x:v>Tin hết hạn đêm trước</x:v>
      </x:c>
      <x:c r="M159" s="20" t="str">
        <x:v>1. Chạy job định kỳ hai lần
2. Truy cập cổng công khai
3. Thử nộp mới</x:v>
      </x:c>
      <x:c r="N159" s="20" t="str">
        <x:v>Tin ẩn sau job; idempotent; không nhận hồ sơ mới</x:v>
      </x:c>
      <x:c r="O159" s="20" t="str"/>
      <x:c r="P159" s="20" t="str">
        <x:v>Chưa chạy</x:v>
      </x:c>
      <x:c r="Q159" s="20" t="str"/>
      <x:c r="R159" s="20" t="str"/>
      <x:c r="S159" s="26" t="str"/>
      <x:c r="T159" s="20" t="str">
        <x:v>Ưu tiên tự động hóa</x:v>
      </x:c>
      <x:c r="U159" s="20" t="str">
        <x:v>Kịch bản rủi ro/biên; nếu vượt yêu cầu backlog, xác nhận PO.</x:v>
      </x:c>
      <x:c r="V159" s="20" t="str">
        <x:v>S4-08</x:v>
      </x:c>
      <x:c r="W159" s="20" t="str">
        <x:v>Bổ sung QA</x:v>
      </x:c>
    </x:row>
    <x:row r="160" ht="92" customHeight="1">
      <x:c r="A160" s="20" t="str">
        <x:v>TC-S4-09-01</x:v>
      </x:c>
      <x:c r="B160" s="20" t="n">
        <x:v>4</x:v>
      </x:c>
      <x:c r="C160" s="20" t="str">
        <x:v>EP-05</x:v>
      </x:c>
      <x:c r="D160" s="20" t="str">
        <x:v>S4-09</x:v>
      </x:c>
      <x:c r="E160" s="20" t="str">
        <x:v>S4-09-AC01</x:v>
      </x:c>
      <x:c r="F160" s="20" t="str">
        <x:v>Hồ sơ &amp; Pipeline</x:v>
      </x:c>
      <x:c r="G160" s="20" t="str">
        <x:v>Một trang gồm thông tin cá nhân, CV xem trước ngay trong trang, lịch sử ứng tuyển các vị trí, nhãn, ghi chú</x:v>
      </x:c>
      <x:c r="H160" s="20" t="str">
        <x:v>Functional</x:v>
      </x:c>
      <x:c r="I160" s="20" t="str">
        <x:v>Critical</x:v>
      </x:c>
      <x:c r="J160" s="20" t="str">
        <x:v>Nhân viên tuyển dụng</x:v>
      </x:c>
      <x:c r="K160" s="20" t="str">
        <x:v>Có tin đã duyệt/đang tuyển, ứng viên giả lập và hộp thư test.</x:v>
      </x:c>
      <x:c r="L160" s="20" t="str">
        <x:v>job QA-TEST-001; ứng viên Nguyễn Minh Test; candidate01@example.test; 0900000001; CV mẫu</x:v>
      </x:c>
      <x:c r="M160" s="20" t="str">
        <x:v>1. Chuẩn bị dữ liệu: Có tin đã duyệt/đang tuyển, ứng viên giả lập và hộp thư test.
2. Đăng nhập bằng tài khoản vai trò 'Nhân viên tuyển dụng' được phép thao tác.
3. Mở chức năng 'xem hồ sơ ứng viên hợp nhất' trên môi trường staging.
4. Thực hiện ít nhất hai thao tác ở thời điểm và tài khoản khác nhau; mở lịch sử/nhật ký.
5. Đối chiếu actor, hành động, dấu thời gian và thứ tự sự kiện.</x:v>
      </x:c>
      <x:c r="N160" s="20" t="str">
        <x:v>Một trang gồm thông tin cá nhân, CV xem trước ngay trong trang, lịch sử ứng tuyển các vị trí, nhãn, ghi chú</x:v>
      </x:c>
      <x:c r="O160" s="20" t="str"/>
      <x:c r="P160" s="20" t="str">
        <x:v>Chưa chạy</x:v>
      </x:c>
      <x:c r="Q160" s="20" t="str"/>
      <x:c r="R160" s="20" t="str"/>
      <x:c r="S160" s="26" t="str"/>
      <x:c r="T160" s="20" t="str">
        <x:v>Ưu tiên tự động hóa</x:v>
      </x:c>
      <x:c r="U160" s="20" t="str">
        <x:v>Nguồn: 4. Product Backlog!F51, tiêu chí 1</x:v>
      </x:c>
      <x:c r="V160" s="20" t="str">
        <x:v>S4-09</x:v>
      </x:c>
      <x:c r="W160" s="20" t="str">
        <x:v>Backlog / AC</x:v>
      </x:c>
    </x:row>
    <x:row r="161" ht="92" customHeight="1">
      <x:c r="A161" s="20" t="str">
        <x:v>TC-S4-09-02</x:v>
      </x:c>
      <x:c r="B161" s="20" t="n">
        <x:v>4</x:v>
      </x:c>
      <x:c r="C161" s="20" t="str">
        <x:v>EP-05</x:v>
      </x:c>
      <x:c r="D161" s="20" t="str">
        <x:v>S4-09</x:v>
      </x:c>
      <x:c r="E161" s="20" t="str">
        <x:v>S4-09-AC02</x:v>
      </x:c>
      <x:c r="F161" s="20" t="str">
        <x:v>Hồ sơ &amp; Pipeline</x:v>
      </x:c>
      <x:c r="G161" s="20" t="str">
        <x:v>Hiển thị đầy đủ các lần ứng tuyển trước đây của cùng người này</x:v>
      </x:c>
      <x:c r="H161" s="20" t="str">
        <x:v>Functional</x:v>
      </x:c>
      <x:c r="I161" s="20" t="str">
        <x:v>Critical</x:v>
      </x:c>
      <x:c r="J161" s="20" t="str">
        <x:v>Nhân viên tuyển dụng</x:v>
      </x:c>
      <x:c r="K161" s="20" t="str">
        <x:v>Có tin đã duyệt/đang tuyển, ứng viên giả lập và hộp thư test.</x:v>
      </x:c>
      <x:c r="L161" s="20" t="str">
        <x:v>job QA-TEST-001; ứng viên Nguyễn Minh Test; candidate01@example.test; 0900000001; CV mẫu</x:v>
      </x:c>
      <x:c r="M161" s="20" t="str">
        <x:v>1. Chuẩn bị dữ liệu: Có tin đã duyệt/đang tuyển, ứng viên giả lập và hộp thư test.
2. Đăng nhập bằng tài khoản vai trò 'Nhân viên tuyển dụng' được phép thao tác.
3. Mở chức năng 'xem hồ sơ ứng viên hợp nhất' trên môi trường staging.
4. Dùng cùng email ứng tuyển JOB-A rồi JOB-B
5. mở profile hợp nhất và timeline theo từng lần apply.
6. Ghi kết quả thực tế và đối chiếu tiêu chí S4-09-AC02.</x:v>
      </x:c>
      <x:c r="N161" s="20" t="str">
        <x:v>Hiển thị đầy đủ các lần ứng tuyển trước đây của cùng người này</x:v>
      </x:c>
      <x:c r="O161" s="20" t="str"/>
      <x:c r="P161" s="20" t="str">
        <x:v>Chưa chạy</x:v>
      </x:c>
      <x:c r="Q161" s="20" t="str"/>
      <x:c r="R161" s="20" t="str"/>
      <x:c r="S161" s="26" t="str"/>
      <x:c r="T161" s="20" t="str">
        <x:v>Ưu tiên tự động hóa</x:v>
      </x:c>
      <x:c r="U161" s="20" t="str">
        <x:v>Nguồn: 4. Product Backlog!F51, tiêu chí 2</x:v>
      </x:c>
      <x:c r="V161" s="20" t="str">
        <x:v>S4-09</x:v>
      </x:c>
      <x:c r="W161" s="20" t="str">
        <x:v>Backlog / AC</x:v>
      </x:c>
    </x:row>
    <x:row r="162" ht="92" customHeight="1">
      <x:c r="A162" s="20" t="str">
        <x:v>TC-S4-09-03</x:v>
      </x:c>
      <x:c r="B162" s="20" t="n">
        <x:v>4</x:v>
      </x:c>
      <x:c r="C162" s="20" t="str">
        <x:v>EP-05</x:v>
      </x:c>
      <x:c r="D162" s="20" t="str">
        <x:v>S4-09</x:v>
      </x:c>
      <x:c r="E162" s="20" t="str">
        <x:v>S4-09-AC03</x:v>
      </x:c>
      <x:c r="F162" s="20" t="str">
        <x:v>Hồ sơ &amp; Pipeline</x:v>
      </x:c>
      <x:c r="G162" s="20" t="str">
        <x:v>Chỉ recruiter phụ trách và hiring manager của vị trí đó mở được</x:v>
      </x:c>
      <x:c r="H162" s="20" t="str">
        <x:v>Negative / RBAC</x:v>
      </x:c>
      <x:c r="I162" s="20" t="str">
        <x:v>Critical</x:v>
      </x:c>
      <x:c r="J162" s="20" t="str">
        <x:v>Nhân viên tuyển dụng</x:v>
      </x:c>
      <x:c r="K162" s="20" t="str">
        <x:v>Có tin đã duyệt/đang tuyển, ứng viên giả lập và hộp thư test.</x:v>
      </x:c>
      <x:c r="L162" s="20" t="str">
        <x:v>job QA-TEST-001; ứng viên Nguyễn Minh Test; candidate01@example.test; 0900000001; CV mẫu</x:v>
      </x:c>
      <x:c r="M162" s="20" t="str">
        <x:v>1. Chuẩn bị dữ liệu: Có tin đã duyệt/đang tuyển, ứng viên giả lập và hộp thư test.
2. Đăng nhập bằng tài khoản vai trò 'Nhân viên tuyển dụng' được phép thao tác.
3. Mở chức năng 'xem hồ sơ ứng viên hợp nhất'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162" s="20" t="str">
        <x:v>Chỉ recruiter phụ trách và hiring manager của vị trí đó mở được</x:v>
      </x:c>
      <x:c r="O162" s="20" t="str"/>
      <x:c r="P162" s="20" t="str">
        <x:v>Chưa chạy</x:v>
      </x:c>
      <x:c r="Q162" s="20" t="str"/>
      <x:c r="R162" s="20" t="str"/>
      <x:c r="S162" s="26" t="str"/>
      <x:c r="T162" s="20" t="str">
        <x:v>Ưu tiên tự động hóa</x:v>
      </x:c>
      <x:c r="U162" s="20" t="str">
        <x:v>Nguồn: 4. Product Backlog!F51, tiêu chí 3</x:v>
      </x:c>
      <x:c r="V162" s="20" t="str">
        <x:v>S4-09</x:v>
      </x:c>
      <x:c r="W162" s="20" t="str">
        <x:v>Backlog / AC</x:v>
      </x:c>
    </x:row>
    <x:row r="163" ht="92" customHeight="1">
      <x:c r="A163" s="20" t="str">
        <x:v>TC-S4-09-X01</x:v>
      </x:c>
      <x:c r="B163" s="20" t="n">
        <x:v>4</x:v>
      </x:c>
      <x:c r="C163" s="20" t="str">
        <x:v>EP-05</x:v>
      </x:c>
      <x:c r="D163" s="20" t="str">
        <x:v>S4-09</x:v>
      </x:c>
      <x:c r="E163" s="20" t="str">
        <x:v>QA-EXTRA</x:v>
      </x:c>
      <x:c r="F163" s="20" t="str">
        <x:v>Hồ sơ &amp; Pipeline</x:v>
      </x:c>
      <x:c r="G163" s="20" t="str">
        <x:v>Hiring Manager vị trí A không đọc hồ sơ vị trí B</x:v>
      </x:c>
      <x:c r="H163" s="20" t="str">
        <x:v>Security / RBAC</x:v>
      </x:c>
      <x:c r="I163" s="20" t="str">
        <x:v>Critical</x:v>
      </x:c>
      <x:c r="J163" s="20" t="str">
        <x:v>Nhân viên tuyển dụng</x:v>
      </x:c>
      <x:c r="K163" s="20" t="str">
        <x:v>Có tin đã duyệt/đang tuyển, ứng viên giả lập và hộp thư test.</x:v>
      </x:c>
      <x:c r="L163" s="20" t="str">
        <x:v>Hiring Manager A và hai vị trí A/B</x:v>
      </x:c>
      <x:c r="M163" s="20" t="str">
        <x:v>1. Đăng nhập Manager A
2. Đổi candidate_id và job_id sang B khi gọi API
3. Thử tải CV B</x:v>
      </x:c>
      <x:c r="N163" s="20" t="str">
        <x:v>Tất cả đường đọc/list/download từ chối; có audit truy cập nếu chính sách yêu cầu</x:v>
      </x:c>
      <x:c r="O163" s="20" t="str"/>
      <x:c r="P163" s="20" t="str">
        <x:v>Chưa chạy</x:v>
      </x:c>
      <x:c r="Q163" s="20" t="str"/>
      <x:c r="R163" s="20" t="str"/>
      <x:c r="S163" s="26" t="str"/>
      <x:c r="T163" s="20" t="str">
        <x:v>Ưu tiên tự động hóa</x:v>
      </x:c>
      <x:c r="U163" s="20" t="str">
        <x:v>Kịch bản rủi ro/biên; nếu vượt yêu cầu backlog, xác nhận PO.</x:v>
      </x:c>
      <x:c r="V163" s="20" t="str">
        <x:v>S4-09</x:v>
      </x:c>
      <x:c r="W163" s="20" t="str">
        <x:v>Bổ sung QA</x:v>
      </x:c>
    </x:row>
    <x:row r="164" ht="92" customHeight="1">
      <x:c r="A164" s="20" t="str">
        <x:v>TC-S5-01-01</x:v>
      </x:c>
      <x:c r="B164" s="20" t="n">
        <x:v>5</x:v>
      </x:c>
      <x:c r="C164" s="20" t="str">
        <x:v>EP-05</x:v>
      </x:c>
      <x:c r="D164" s="20" t="str">
        <x:v>S5-01</x:v>
      </x:c>
      <x:c r="E164" s="20" t="str">
        <x:v>S5-01-AC01</x:v>
      </x:c>
      <x:c r="F164" s="20" t="str">
        <x:v>Hồ sơ &amp; Pipeline</x:v>
      </x:c>
      <x:c r="G164" s="20" t="str">
        <x:v>Phát hiện trùng theo email và số điện thoại khi có hồ sơ mới</x:v>
      </x:c>
      <x:c r="H164" s="20" t="str">
        <x:v>Functional</x:v>
      </x:c>
      <x:c r="I164" s="20" t="str">
        <x:v>High</x:v>
      </x:c>
      <x:c r="J164" s="20" t="str">
        <x:v>Nhân viên tuyển dụng</x:v>
      </x:c>
      <x:c r="K164" s="20" t="str">
        <x:v>Có 1 vị trí được phân công, ứng viên giả lập thuộc nhiều giai đoạn.</x:v>
      </x:c>
      <x:c r="L164" s="20" t="str">
        <x:v>candidate01@example.test / 0900000001; nhãn Python; 20 CV mẫu</x:v>
      </x:c>
      <x:c r="M164" s="20" t="str">
        <x:v>1. Chuẩn bị dữ liệu: Có 1 vị trí được phân công, ứng viên giả lập thuộc nhiều giai đoạn.
2. Đăng nhập bằng tài khoản vai trò 'Nhân viên tuyển dụng' được phép thao tác.
3. Mở chức năng 'được cảnh báo và gộp hồ sơ ứng viên trùng' trên môi trường staging.
4. Tạo hai bản ghi/khung giờ có cùng khoá nghiệp vụ (email, số điện thoại, vị trí hoặc người/phòng trùng lịch).
5. Thực hiện lưu/gộp/đặt lịch và kiểm tra cảnh báo, dữ liệu sau thao tác.</x:v>
      </x:c>
      <x:c r="N164" s="20" t="str">
        <x:v>Phát hiện trùng theo email và số điện thoại khi có hồ sơ mới</x:v>
      </x:c>
      <x:c r="O164" s="20" t="str"/>
      <x:c r="P164" s="20" t="str">
        <x:v>Chưa chạy</x:v>
      </x:c>
      <x:c r="Q164" s="20" t="str"/>
      <x:c r="R164" s="20" t="str"/>
      <x:c r="S164" s="26" t="str"/>
      <x:c r="T164" s="20" t="str">
        <x:v>Ưu tiên tự động hóa</x:v>
      </x:c>
      <x:c r="U164" s="20" t="str">
        <x:v>Nguồn: 4. Product Backlog!F54, tiêu chí 1</x:v>
      </x:c>
      <x:c r="V164" s="20" t="str">
        <x:v>S5-01</x:v>
      </x:c>
      <x:c r="W164" s="20" t="str">
        <x:v>Backlog / AC</x:v>
      </x:c>
    </x:row>
    <x:row r="165" ht="92" customHeight="1">
      <x:c r="A165" s="20" t="str">
        <x:v>TC-S5-01-02</x:v>
      </x:c>
      <x:c r="B165" s="20" t="n">
        <x:v>5</x:v>
      </x:c>
      <x:c r="C165" s="20" t="str">
        <x:v>EP-05</x:v>
      </x:c>
      <x:c r="D165" s="20" t="str">
        <x:v>S5-01</x:v>
      </x:c>
      <x:c r="E165" s="20" t="str">
        <x:v>S5-01-AC02</x:v>
      </x:c>
      <x:c r="F165" s="20" t="str">
        <x:v>Hồ sơ &amp; Pipeline</x:v>
      </x:c>
      <x:c r="G165" s="20" t="str">
        <x:v>Hiển thị so sánh cạnh nhau trước khi gộp</x:v>
      </x:c>
      <x:c r="H165" s="20" t="str">
        <x:v>Functional</x:v>
      </x:c>
      <x:c r="I165" s="20" t="str">
        <x:v>High</x:v>
      </x:c>
      <x:c r="J165" s="20" t="str">
        <x:v>Nhân viên tuyển dụng</x:v>
      </x:c>
      <x:c r="K165" s="20" t="str">
        <x:v>Có 1 vị trí được phân công, ứng viên giả lập thuộc nhiều giai đoạn.</x:v>
      </x:c>
      <x:c r="L165" s="20" t="str">
        <x:v>candidate01@example.test / 0900000001; nhãn Python; 20 CV mẫu</x:v>
      </x:c>
      <x:c r="M165" s="20" t="str">
        <x:v>1. Chuẩn bị dữ liệu: Có 1 vị trí được phân công, ứng viên giả lập thuộc nhiều giai đoạn.
2. Đăng nhập bằng tài khoản vai trò 'Nhân viên tuyển dụng' được phép thao tác.
3. Mở chức năng 'được cảnh báo và gộp hồ sơ ứng viên trùng' trên môi trường staging.
4. Tạo hai hồ sơ cùng email/số điện thoại
5. mở màn đối chiếu
6. kiểm tra các trường khác nhau trước khi nhấn Gộp.
7. Ghi kết quả thực tế và đối chiếu tiêu chí S5-01-AC02.</x:v>
      </x:c>
      <x:c r="N165" s="20" t="str">
        <x:v>Hiển thị so sánh cạnh nhau trước khi gộp</x:v>
      </x:c>
      <x:c r="O165" s="20" t="str"/>
      <x:c r="P165" s="20" t="str">
        <x:v>Chưa chạy</x:v>
      </x:c>
      <x:c r="Q165" s="20" t="str"/>
      <x:c r="R165" s="20" t="str"/>
      <x:c r="S165" s="26" t="str"/>
      <x:c r="T165" s="20" t="str">
        <x:v>Ưu tiên tự động hóa</x:v>
      </x:c>
      <x:c r="U165" s="20" t="str">
        <x:v>Nguồn: 4. Product Backlog!F54, tiêu chí 2</x:v>
      </x:c>
      <x:c r="V165" s="20" t="str">
        <x:v>S5-01</x:v>
      </x:c>
      <x:c r="W165" s="20" t="str">
        <x:v>Backlog / AC</x:v>
      </x:c>
    </x:row>
    <x:row r="166" ht="92" customHeight="1">
      <x:c r="A166" s="20" t="str">
        <x:v>TC-S5-01-03</x:v>
      </x:c>
      <x:c r="B166" s="20" t="n">
        <x:v>5</x:v>
      </x:c>
      <x:c r="C166" s="20" t="str">
        <x:v>EP-05</x:v>
      </x:c>
      <x:c r="D166" s="20" t="str">
        <x:v>S5-01</x:v>
      </x:c>
      <x:c r="E166" s="20" t="str">
        <x:v>S5-01-AC03</x:v>
      </x:c>
      <x:c r="F166" s="20" t="str">
        <x:v>Hồ sơ &amp; Pipeline</x:v>
      </x:c>
      <x:c r="G166" s="20" t="str">
        <x:v>Gộp giữ lại toàn bộ lịch sử ứng tuyển của cả hai hồ sơ</x:v>
      </x:c>
      <x:c r="H166" s="20" t="str">
        <x:v>Functional</x:v>
      </x:c>
      <x:c r="I166" s="20" t="str">
        <x:v>High</x:v>
      </x:c>
      <x:c r="J166" s="20" t="str">
        <x:v>Nhân viên tuyển dụng</x:v>
      </x:c>
      <x:c r="K166" s="20" t="str">
        <x:v>Có 1 vị trí được phân công, ứng viên giả lập thuộc nhiều giai đoạn.</x:v>
      </x:c>
      <x:c r="L166" s="20" t="str">
        <x:v>candidate01@example.test / 0900000001; nhãn Python; 20 CV mẫu</x:v>
      </x:c>
      <x:c r="M166" s="20" t="str">
        <x:v>1. Chuẩn bị dữ liệu: Có 1 vị trí được phân công, ứng viên giả lập thuộc nhiều giai đoạn.
2. Đăng nhập bằng tài khoản vai trò 'Nhân viên tuyển dụng' được phép thao tác.
3. Mở chức năng 'được cảnh báo và gộp hồ sơ ứng viên trùng' trên môi trường staging.
4. Thực hiện ít nhất hai thao tác ở thời điểm và tài khoản khác nhau; mở lịch sử/nhật ký.
5. Đối chiếu actor, hành động, dấu thời gian và thứ tự sự kiện.</x:v>
      </x:c>
      <x:c r="N166" s="20" t="str">
        <x:v>Gộp giữ lại toàn bộ lịch sử ứng tuyển của cả hai hồ sơ</x:v>
      </x:c>
      <x:c r="O166" s="20" t="str"/>
      <x:c r="P166" s="20" t="str">
        <x:v>Chưa chạy</x:v>
      </x:c>
      <x:c r="Q166" s="20" t="str"/>
      <x:c r="R166" s="20" t="str"/>
      <x:c r="S166" s="26" t="str"/>
      <x:c r="T166" s="20" t="str">
        <x:v>Ưu tiên tự động hóa</x:v>
      </x:c>
      <x:c r="U166" s="20" t="str">
        <x:v>Nguồn: 4. Product Backlog!F54, tiêu chí 3</x:v>
      </x:c>
      <x:c r="V166" s="20" t="str">
        <x:v>S5-01</x:v>
      </x:c>
      <x:c r="W166" s="20" t="str">
        <x:v>Backlog / AC</x:v>
      </x:c>
    </x:row>
    <x:row r="167" ht="92" customHeight="1">
      <x:c r="A167" s="20" t="str">
        <x:v>TC-S5-01-04</x:v>
      </x:c>
      <x:c r="B167" s="20" t="n">
        <x:v>5</x:v>
      </x:c>
      <x:c r="C167" s="20" t="str">
        <x:v>EP-05</x:v>
      </x:c>
      <x:c r="D167" s="20" t="str">
        <x:v>S5-01</x:v>
      </x:c>
      <x:c r="E167" s="20" t="str">
        <x:v>S5-01-AC04</x:v>
      </x:c>
      <x:c r="F167" s="20" t="str">
        <x:v>Hồ sơ &amp; Pipeline</x:v>
      </x:c>
      <x:c r="G167" s="20" t="str">
        <x:v>Gộp nhầm có thể hoàn tác trong 24 giờ</x:v>
      </x:c>
      <x:c r="H167" s="20" t="str">
        <x:v>Boundary</x:v>
      </x:c>
      <x:c r="I167" s="20" t="str">
        <x:v>High</x:v>
      </x:c>
      <x:c r="J167" s="20" t="str">
        <x:v>Nhân viên tuyển dụng</x:v>
      </x:c>
      <x:c r="K167" s="20" t="str">
        <x:v>Có 1 vị trí được phân công, ứng viên giả lập thuộc nhiều giai đoạn.</x:v>
      </x:c>
      <x:c r="L167" s="20" t="str">
        <x:v>candidate01@example.test / 0900000001; nhãn Python; 20 CV mẫu</x:v>
      </x:c>
      <x:c r="M167" s="20" t="str">
        <x:v>1. Chuẩn bị dữ liệu: Có 1 vị trí được phân công, ứng viên giả lập thuộc nhiều giai đoạn.
2. Đăng nhập bằng tài khoản vai trò 'Nhân viên tuyển dụng' được phép thao tác.
3. Mở chức năng 'được cảnh báo và gộp hồ sơ ứng viên trùng' trên môi trường staging.
4. Gộp A+B
5. thực hiện Hoàn tác trong 24h
6. so sánh hai profile và lịch sử với trạng thái trước gộp.
7. Ghi kết quả thực tế và đối chiếu tiêu chí S5-01-AC04.</x:v>
      </x:c>
      <x:c r="N167" s="20" t="str">
        <x:v>Gộp nhầm có thể hoàn tác trong 24 giờ</x:v>
      </x:c>
      <x:c r="O167" s="20" t="str"/>
      <x:c r="P167" s="20" t="str">
        <x:v>Chưa chạy</x:v>
      </x:c>
      <x:c r="Q167" s="20" t="str"/>
      <x:c r="R167" s="20" t="str"/>
      <x:c r="S167" s="26" t="str"/>
      <x:c r="T167" s="20" t="str">
        <x:v>Ưu tiên tự động hóa</x:v>
      </x:c>
      <x:c r="U167" s="20" t="str">
        <x:v>Nguồn: 4. Product Backlog!F54, tiêu chí 4</x:v>
      </x:c>
      <x:c r="V167" s="20" t="str">
        <x:v>S5-01</x:v>
      </x:c>
      <x:c r="W167" s="20" t="str">
        <x:v>Backlog / AC</x:v>
      </x:c>
    </x:row>
    <x:row r="168" ht="92" customHeight="1">
      <x:c r="A168" s="20" t="str">
        <x:v>TC-S5-01-X01</x:v>
      </x:c>
      <x:c r="B168" s="20" t="n">
        <x:v>5</x:v>
      </x:c>
      <x:c r="C168" s="20" t="str">
        <x:v>EP-05</x:v>
      </x:c>
      <x:c r="D168" s="20" t="str">
        <x:v>S5-01</x:v>
      </x:c>
      <x:c r="E168" s="20" t="str">
        <x:v>QA-EXTRA</x:v>
      </x:c>
      <x:c r="F168" s="20" t="str">
        <x:v>Hồ sơ &amp; Pipeline</x:v>
      </x:c>
      <x:c r="G168" s="20" t="str">
        <x:v>Hai hồ sơ trùng cùng ứng viên nhưng khác vị trí</x:v>
      </x:c>
      <x:c r="H168" s="20" t="str">
        <x:v>Data integrity</x:v>
      </x:c>
      <x:c r="I168" s="20" t="str">
        <x:v>High</x:v>
      </x:c>
      <x:c r="J168" s="20" t="str">
        <x:v>Nhân viên tuyển dụng</x:v>
      </x:c>
      <x:c r="K168" s="20" t="str">
        <x:v>Có 1 vị trí được phân công, ứng viên giả lập thuộc nhiều giai đoạn.</x:v>
      </x:c>
      <x:c r="L168" s="20" t="str">
        <x:v>Một email ứng tuyển 2 vị trí A và B</x:v>
      </x:c>
      <x:c r="M168" s="20" t="str">
        <x:v>1. Tạo 2 hồ sơ cùng email nhưng 2 job
2. Thử gộp
3. Kiểm tra lịch sử của cả hai đơn ứng tuyển</x:v>
      </x:c>
      <x:c r="N168" s="20" t="str">
        <x:v>Một ứng viên hợp nhất nhưng giữ nguyên hai lần ứng tuyển và pipeline riêng; không mất ghi chú/audit</x:v>
      </x:c>
      <x:c r="O168" s="20" t="str"/>
      <x:c r="P168" s="20" t="str">
        <x:v>Chưa chạy</x:v>
      </x:c>
      <x:c r="Q168" s="20" t="str"/>
      <x:c r="R168" s="20" t="str"/>
      <x:c r="S168" s="26" t="str"/>
      <x:c r="T168" s="20" t="str">
        <x:v>Ưu tiên tự động hóa</x:v>
      </x:c>
      <x:c r="U168" s="20" t="str">
        <x:v>Kịch bản rủi ro/biên; nếu vượt yêu cầu backlog, xác nhận PO.</x:v>
      </x:c>
      <x:c r="V168" s="20" t="str">
        <x:v>S5-01</x:v>
      </x:c>
      <x:c r="W168" s="20" t="str">
        <x:v>Bổ sung QA</x:v>
      </x:c>
    </x:row>
    <x:row r="169" ht="92" customHeight="1">
      <x:c r="A169" s="20" t="str">
        <x:v>TC-S5-02-01</x:v>
      </x:c>
      <x:c r="B169" s="20" t="n">
        <x:v>5</x:v>
      </x:c>
      <x:c r="C169" s="20" t="str">
        <x:v>EP-05</x:v>
      </x:c>
      <x:c r="D169" s="20" t="str">
        <x:v>S5-02</x:v>
      </x:c>
      <x:c r="E169" s="20" t="str">
        <x:v>S5-02-AC01</x:v>
      </x:c>
      <x:c r="F169" s="20" t="str">
        <x:v>Hồ sơ &amp; Pipeline</x:v>
      </x:c>
      <x:c r="G169" s="20" t="str">
        <x:v>Các giai đoạn: Hồ sơ mới → Sàng lọc → Phỏng vấn → Đề xuất offer → Nhận việc → Loại</x:v>
      </x:c>
      <x:c r="H169" s="20" t="str">
        <x:v>Functional</x:v>
      </x:c>
      <x:c r="I169" s="20" t="str">
        <x:v>Critical</x:v>
      </x:c>
      <x:c r="J169" s="20" t="str">
        <x:v>Nhân viên tuyển dụng</x:v>
      </x:c>
      <x:c r="K169" s="20" t="str">
        <x:v>Có 1 vị trí được phân công, ứng viên giả lập thuộc nhiều giai đoạn.</x:v>
      </x:c>
      <x:c r="L169" s="20" t="str">
        <x:v>candidate01@example.test / 0900000001; nhãn Python; 20 CV mẫu</x:v>
      </x:c>
      <x:c r="M169" s="20" t="str">
        <x:v>1. Chuẩn bị dữ liệu: Có 1 vị trí được phân công, ứng viên giả lập thuộc nhiều giai đoạn.
2. Đăng nhập bằng tài khoản vai trò 'Nhân viên tuyển dụng' được phép thao tác.
3. Mở chức năng 'điều phối ứng viên trên bảng pipeline dạng kanban' trên môi trường staging.
4. Tạo dữ liệu đối chứng thuộc và không thuộc điều kiện; áp dụng bộ lọc/tìm kiếm/sắp xếp tương ứng.
5. Đối chiếu danh sách/kết quả tổng hợp với dữ liệu gốc.</x:v>
      </x:c>
      <x:c r="N169" s="20" t="str">
        <x:v>Các giai đoạn: Hồ sơ mới → Sàng lọc → Phỏng vấn → Đề xuất offer → Nhận việc → Loại</x:v>
      </x:c>
      <x:c r="O169" s="20" t="str"/>
      <x:c r="P169" s="20" t="str">
        <x:v>Chưa chạy</x:v>
      </x:c>
      <x:c r="Q169" s="20" t="str"/>
      <x:c r="R169" s="20" t="str"/>
      <x:c r="S169" s="26" t="str"/>
      <x:c r="T169" s="20" t="str">
        <x:v>Ưu tiên tự động hóa</x:v>
      </x:c>
      <x:c r="U169" s="20" t="str">
        <x:v>Nguồn: 4. Product Backlog!F55, tiêu chí 1</x:v>
      </x:c>
      <x:c r="V169" s="20" t="str">
        <x:v>S5-02</x:v>
      </x:c>
      <x:c r="W169" s="20" t="str">
        <x:v>Backlog / AC</x:v>
      </x:c>
    </x:row>
    <x:row r="170" ht="92" customHeight="1">
      <x:c r="A170" s="20" t="str">
        <x:v>TC-S5-02-02</x:v>
      </x:c>
      <x:c r="B170" s="20" t="n">
        <x:v>5</x:v>
      </x:c>
      <x:c r="C170" s="20" t="str">
        <x:v>EP-05</x:v>
      </x:c>
      <x:c r="D170" s="20" t="str">
        <x:v>S5-02</x:v>
      </x:c>
      <x:c r="E170" s="20" t="str">
        <x:v>S5-02-AC02</x:v>
      </x:c>
      <x:c r="F170" s="20" t="str">
        <x:v>Hồ sơ &amp; Pipeline</x:v>
      </x:c>
      <x:c r="G170" s="20" t="str">
        <x:v>Kéo thả để chuyển giai đoạn</x:v>
      </x:c>
      <x:c r="H170" s="20" t="str">
        <x:v>Functional</x:v>
      </x:c>
      <x:c r="I170" s="20" t="str">
        <x:v>Critical</x:v>
      </x:c>
      <x:c r="J170" s="20" t="str">
        <x:v>Nhân viên tuyển dụng</x:v>
      </x:c>
      <x:c r="K170" s="20" t="str">
        <x:v>Có 1 vị trí được phân công, ứng viên giả lập thuộc nhiều giai đoạn.</x:v>
      </x:c>
      <x:c r="L170" s="20" t="str">
        <x:v>candidate01@example.test / 0900000001; nhãn Python; 20 CV mẫu</x:v>
      </x:c>
      <x:c r="M170" s="20" t="str">
        <x:v>1. Chuẩn bị dữ liệu: Có 1 vị trí được phân công, ứng viên giả lập thuộc nhiều giai đoạn.
2. Đăng nhập bằng tài khoản vai trò 'Nhân viên tuyển dụng' được phép thao tác.
3. Mở chức năng 'điều phối ứng viên trên bảng pipeline dạng kanban' trên môi trường staging.
4. Mở kanban JOB-A
5. kéo candidate từ Hồ sơ mới sang Sàng lọc
6. reload và kiểm tra lịch sử chuyển giai đoạn.
7. Ghi kết quả thực tế và đối chiếu tiêu chí S5-02-AC02.</x:v>
      </x:c>
      <x:c r="N170" s="20" t="str">
        <x:v>Kéo thả để chuyển giai đoạn</x:v>
      </x:c>
      <x:c r="O170" s="20" t="str"/>
      <x:c r="P170" s="20" t="str">
        <x:v>Chưa chạy</x:v>
      </x:c>
      <x:c r="Q170" s="20" t="str"/>
      <x:c r="R170" s="20" t="str"/>
      <x:c r="S170" s="26" t="str"/>
      <x:c r="T170" s="20" t="str">
        <x:v>Ưu tiên tự động hóa</x:v>
      </x:c>
      <x:c r="U170" s="20" t="str">
        <x:v>Nguồn: 4. Product Backlog!F55, tiêu chí 2</x:v>
      </x:c>
      <x:c r="V170" s="20" t="str">
        <x:v>S5-02</x:v>
      </x:c>
      <x:c r="W170" s="20" t="str">
        <x:v>Backlog / AC</x:v>
      </x:c>
    </x:row>
    <x:row r="171" ht="92" customHeight="1">
      <x:c r="A171" s="20" t="str">
        <x:v>TC-S5-02-03</x:v>
      </x:c>
      <x:c r="B171" s="20" t="n">
        <x:v>5</x:v>
      </x:c>
      <x:c r="C171" s="20" t="str">
        <x:v>EP-05</x:v>
      </x:c>
      <x:c r="D171" s="20" t="str">
        <x:v>S5-02</x:v>
      </x:c>
      <x:c r="E171" s="20" t="str">
        <x:v>S5-02-AC03</x:v>
      </x:c>
      <x:c r="F171" s="20" t="str">
        <x:v>Hồ sơ &amp; Pipeline</x:v>
      </x:c>
      <x:c r="G171" s="20" t="str">
        <x:v>Mỗi cột hiển thị số lượng ứng viên</x:v>
      </x:c>
      <x:c r="H171" s="20" t="str">
        <x:v>Functional</x:v>
      </x:c>
      <x:c r="I171" s="20" t="str">
        <x:v>Critical</x:v>
      </x:c>
      <x:c r="J171" s="20" t="str">
        <x:v>Nhân viên tuyển dụng</x:v>
      </x:c>
      <x:c r="K171" s="20" t="str">
        <x:v>Có 1 vị trí được phân công, ứng viên giả lập thuộc nhiều giai đoạn.</x:v>
      </x:c>
      <x:c r="L171" s="20" t="str">
        <x:v>candidate01@example.test / 0900000001; nhãn Python; 20 CV mẫu</x:v>
      </x:c>
      <x:c r="M171" s="20" t="str">
        <x:v>1. Chuẩn bị dữ liệu: Có 1 vị trí được phân công, ứng viên giả lập thuộc nhiều giai đoạn.
2. Đăng nhập bằng tài khoản vai trò 'Nhân viên tuyển dụng' được phép thao tác.
3. Mở chức năng 'điều phối ứng viên trên bảng pipeline dạng kanban' trên môi trường staging.
4. Seed 3 ứng viên mới + 2 sàng lọc + 1 phỏng vấn
5. xem số đếm từng cột trước/sau kéo.
6. Ghi kết quả thực tế và đối chiếu tiêu chí S5-02-AC03.</x:v>
      </x:c>
      <x:c r="N171" s="20" t="str">
        <x:v>Mỗi cột hiển thị số lượng ứng viên</x:v>
      </x:c>
      <x:c r="O171" s="20" t="str"/>
      <x:c r="P171" s="20" t="str">
        <x:v>Chưa chạy</x:v>
      </x:c>
      <x:c r="Q171" s="20" t="str"/>
      <x:c r="R171" s="20" t="str"/>
      <x:c r="S171" s="26" t="str"/>
      <x:c r="T171" s="20" t="str">
        <x:v>Ưu tiên tự động hóa</x:v>
      </x:c>
      <x:c r="U171" s="20" t="str">
        <x:v>Nguồn: 4. Product Backlog!F55, tiêu chí 3</x:v>
      </x:c>
      <x:c r="V171" s="20" t="str">
        <x:v>S5-02</x:v>
      </x:c>
      <x:c r="W171" s="20" t="str">
        <x:v>Backlog / AC</x:v>
      </x:c>
    </x:row>
    <x:row r="172" ht="92" customHeight="1">
      <x:c r="A172" s="20" t="str">
        <x:v>TC-S5-02-04</x:v>
      </x:c>
      <x:c r="B172" s="20" t="n">
        <x:v>5</x:v>
      </x:c>
      <x:c r="C172" s="20" t="str">
        <x:v>EP-05</x:v>
      </x:c>
      <x:c r="D172" s="20" t="str">
        <x:v>S5-02</x:v>
      </x:c>
      <x:c r="E172" s="20" t="str">
        <x:v>S5-02-AC04</x:v>
      </x:c>
      <x:c r="F172" s="20" t="str">
        <x:v>Hồ sơ &amp; Pipeline</x:v>
      </x:c>
      <x:c r="G172" s="20" t="str">
        <x:v>Bảng lọc theo vị trí tuyển dụng, mặc định là vị trí recruiter đang phụ trách</x:v>
      </x:c>
      <x:c r="H172" s="20" t="str">
        <x:v>Functional</x:v>
      </x:c>
      <x:c r="I172" s="20" t="str">
        <x:v>Critical</x:v>
      </x:c>
      <x:c r="J172" s="20" t="str">
        <x:v>Nhân viên tuyển dụng</x:v>
      </x:c>
      <x:c r="K172" s="20" t="str">
        <x:v>Có 1 vị trí được phân công, ứng viên giả lập thuộc nhiều giai đoạn.</x:v>
      </x:c>
      <x:c r="L172" s="20" t="str">
        <x:v>candidate01@example.test / 0900000001; nhãn Python; 20 CV mẫu</x:v>
      </x:c>
      <x:c r="M172" s="20" t="str">
        <x:v>1. Chuẩn bị dữ liệu: Có 1 vị trí được phân công, ứng viên giả lập thuộc nhiều giai đoạn.
2. Đăng nhập bằng tài khoản vai trò 'Nhân viên tuyển dụng' được phép thao tác.
3. Mở chức năng 'điều phối ứng viên trên bảng pipeline dạng kanban' trên môi trường staging.
4. Tạo dữ liệu đối chứng thuộc và không thuộc điều kiện; áp dụng bộ lọc/tìm kiếm/sắp xếp tương ứng.
5. Đối chiếu danh sách/kết quả tổng hợp với dữ liệu gốc.</x:v>
      </x:c>
      <x:c r="N172" s="20" t="str">
        <x:v>Bảng lọc theo vị trí tuyển dụng, mặc định là vị trí recruiter đang phụ trách</x:v>
      </x:c>
      <x:c r="O172" s="20" t="str"/>
      <x:c r="P172" s="20" t="str">
        <x:v>Chưa chạy</x:v>
      </x:c>
      <x:c r="Q172" s="20" t="str"/>
      <x:c r="R172" s="20" t="str"/>
      <x:c r="S172" s="26" t="str"/>
      <x:c r="T172" s="20" t="str">
        <x:v>Ưu tiên tự động hóa</x:v>
      </x:c>
      <x:c r="U172" s="20" t="str">
        <x:v>Nguồn: 4. Product Backlog!F55, tiêu chí 4</x:v>
      </x:c>
      <x:c r="V172" s="20" t="str">
        <x:v>S5-02</x:v>
      </x:c>
      <x:c r="W172" s="20" t="str">
        <x:v>Backlog / AC</x:v>
      </x:c>
    </x:row>
    <x:row r="173" ht="92" customHeight="1">
      <x:c r="A173" s="20" t="str">
        <x:v>TC-S5-02-X01</x:v>
      </x:c>
      <x:c r="B173" s="20" t="n">
        <x:v>5</x:v>
      </x:c>
      <x:c r="C173" s="20" t="str">
        <x:v>EP-05</x:v>
      </x:c>
      <x:c r="D173" s="20" t="str">
        <x:v>S5-02</x:v>
      </x:c>
      <x:c r="E173" s="20" t="str">
        <x:v>QA-EXTRA</x:v>
      </x:c>
      <x:c r="F173" s="20" t="str">
        <x:v>Hồ sơ &amp; Pipeline</x:v>
      </x:c>
      <x:c r="G173" s="20" t="str">
        <x:v>Kanban không làm lộ ứng viên ngoài phạm vi recruiter</x:v>
      </x:c>
      <x:c r="H173" s="20" t="str">
        <x:v>Security / RBAC</x:v>
      </x:c>
      <x:c r="I173" s="20" t="str">
        <x:v>Critical</x:v>
      </x:c>
      <x:c r="J173" s="20" t="str">
        <x:v>Nhân viên tuyển dụng</x:v>
      </x:c>
      <x:c r="K173" s="20" t="str">
        <x:v>Có 1 vị trí được phân công, ứng viên giả lập thuộc nhiều giai đoạn.</x:v>
      </x:c>
      <x:c r="L173" s="20" t="str">
        <x:v>Recruiter A phụ trách job A; 5 ứng viên job B</x:v>
      </x:c>
      <x:c r="M173" s="20" t="str">
        <x:v>1. Mở kanban A
2. Đổi job_id sang B ở API
3. Kéo thả candidate B bằng request sửa</x:v>
      </x:c>
      <x:c r="N173" s="20" t="str">
        <x:v>Không hiện candidate B, không được chuyển giai đoạn trái quyền, số đếm chỉ phản ánh phạm vi A</x:v>
      </x:c>
      <x:c r="O173" s="20" t="str"/>
      <x:c r="P173" s="20" t="str">
        <x:v>Chưa chạy</x:v>
      </x:c>
      <x:c r="Q173" s="20" t="str"/>
      <x:c r="R173" s="20" t="str"/>
      <x:c r="S173" s="26" t="str"/>
      <x:c r="T173" s="20" t="str">
        <x:v>Ưu tiên tự động hóa</x:v>
      </x:c>
      <x:c r="U173" s="20" t="str">
        <x:v>Kịch bản rủi ro/biên; nếu vượt yêu cầu backlog, xác nhận PO.</x:v>
      </x:c>
      <x:c r="V173" s="20" t="str">
        <x:v>S5-02</x:v>
      </x:c>
      <x:c r="W173" s="20" t="str">
        <x:v>Bổ sung QA</x:v>
      </x:c>
    </x:row>
    <x:row r="174" ht="92" customHeight="1">
      <x:c r="A174" s="20" t="str">
        <x:v>TC-S5-03-01</x:v>
      </x:c>
      <x:c r="B174" s="20" t="n">
        <x:v>5</x:v>
      </x:c>
      <x:c r="C174" s="20" t="str">
        <x:v>EP-05</x:v>
      </x:c>
      <x:c r="D174" s="20" t="str">
        <x:v>S5-03</x:v>
      </x:c>
      <x:c r="E174" s="20" t="str">
        <x:v>S5-03-AC01</x:v>
      </x:c>
      <x:c r="F174" s="20" t="str">
        <x:v>Hồ sơ &amp; Pipeline</x:v>
      </x:c>
      <x:c r="G174" s="20" t="str">
        <x:v>Chuyển sang Loại bắt buộc chọn lý do từ danh mục</x:v>
      </x:c>
      <x:c r="H174" s="20" t="str">
        <x:v>Functional</x:v>
      </x:c>
      <x:c r="I174" s="20" t="str">
        <x:v>Critical</x:v>
      </x:c>
      <x:c r="J174" s="20" t="str">
        <x:v>Nhân viên tuyển dụng</x:v>
      </x:c>
      <x:c r="K174" s="20" t="str">
        <x:v>Có 1 vị trí được phân công, ứng viên giả lập thuộc nhiều giai đoạn.</x:v>
      </x:c>
      <x:c r="L174" s="20" t="str">
        <x:v>candidate01@example.test / 0900000001; nhãn Python; 20 CV mẫu</x:v>
      </x:c>
      <x:c r="M174" s="20" t="str">
        <x:v>1. Chuẩn bị dữ liệu: Có 1 vị trí được phân công, ứng viên giả lập thuộc nhiều giai đoạn.
2. Đăng nhập bằng tài khoản vai trò 'Nhân viên tuyển dụng' được phép thao tác.
3. Mở chức năng 'chuyển giai đoạn và ghi lý do khi loại ứng viên' trên môi trường staging.
4. Thử một bộ dữ liệu hợp lệ và một bộ thiếu/sai điều kiện bắt buộc; thực hiện Lưu/Gửi duyệt.
5. So sánh xác thực UI/API và dữ liệu được ghi.</x:v>
      </x:c>
      <x:c r="N174" s="20" t="str">
        <x:v>Chuyển sang Loại bắt buộc chọn lý do từ danh mục</x:v>
      </x:c>
      <x:c r="O174" s="20" t="str"/>
      <x:c r="P174" s="20" t="str">
        <x:v>Chưa chạy</x:v>
      </x:c>
      <x:c r="Q174" s="20" t="str"/>
      <x:c r="R174" s="20" t="str"/>
      <x:c r="S174" s="26" t="str"/>
      <x:c r="T174" s="20" t="str">
        <x:v>Ưu tiên tự động hóa</x:v>
      </x:c>
      <x:c r="U174" s="20" t="str">
        <x:v>Nguồn: 4. Product Backlog!F56, tiêu chí 1</x:v>
      </x:c>
      <x:c r="V174" s="20" t="str">
        <x:v>S5-03</x:v>
      </x:c>
      <x:c r="W174" s="20" t="str">
        <x:v>Backlog / AC</x:v>
      </x:c>
    </x:row>
    <x:row r="175" ht="92" customHeight="1">
      <x:c r="A175" s="20" t="str">
        <x:v>TC-S5-03-02</x:v>
      </x:c>
      <x:c r="B175" s="20" t="n">
        <x:v>5</x:v>
      </x:c>
      <x:c r="C175" s="20" t="str">
        <x:v>EP-05</x:v>
      </x:c>
      <x:c r="D175" s="20" t="str">
        <x:v>S5-03</x:v>
      </x:c>
      <x:c r="E175" s="20" t="str">
        <x:v>S5-03-AC02</x:v>
      </x:c>
      <x:c r="F175" s="20" t="str">
        <x:v>Hồ sơ &amp; Pipeline</x:v>
      </x:c>
      <x:c r="G175" s="20" t="str">
        <x:v>Mỗi lần chuyển giai đoạn được ghi nhật ký kèm người thực hiện và thời điểm</x:v>
      </x:c>
      <x:c r="H175" s="20" t="str">
        <x:v>Functional</x:v>
      </x:c>
      <x:c r="I175" s="20" t="str">
        <x:v>Critical</x:v>
      </x:c>
      <x:c r="J175" s="20" t="str">
        <x:v>Nhân viên tuyển dụng</x:v>
      </x:c>
      <x:c r="K175" s="20" t="str">
        <x:v>Có 1 vị trí được phân công, ứng viên giả lập thuộc nhiều giai đoạn.</x:v>
      </x:c>
      <x:c r="L175" s="20" t="str">
        <x:v>candidate01@example.test / 0900000001; nhãn Python; 20 CV mẫu</x:v>
      </x:c>
      <x:c r="M175" s="20" t="str">
        <x:v>1. Chuẩn bị dữ liệu: Có 1 vị trí được phân công, ứng viên giả lập thuộc nhiều giai đoạn.
2. Đăng nhập bằng tài khoản vai trò 'Nhân viên tuyển dụng' được phép thao tác.
3. Mở chức năng 'chuyển giai đoạn và ghi lý do khi loại ứng viên' trên môi trường staging.
4. Thực hiện ít nhất hai thao tác ở thời điểm và tài khoản khác nhau; mở lịch sử/nhật ký.
5. Đối chiếu actor, hành động, dấu thời gian và thứ tự sự kiện.</x:v>
      </x:c>
      <x:c r="N175" s="20" t="str">
        <x:v>Mỗi lần chuyển giai đoạn được ghi nhật ký kèm người thực hiện và thời điểm</x:v>
      </x:c>
      <x:c r="O175" s="20" t="str"/>
      <x:c r="P175" s="20" t="str">
        <x:v>Chưa chạy</x:v>
      </x:c>
      <x:c r="Q175" s="20" t="str"/>
      <x:c r="R175" s="20" t="str"/>
      <x:c r="S175" s="26" t="str"/>
      <x:c r="T175" s="20" t="str">
        <x:v>Ưu tiên tự động hóa</x:v>
      </x:c>
      <x:c r="U175" s="20" t="str">
        <x:v>Nguồn: 4. Product Backlog!F56, tiêu chí 2</x:v>
      </x:c>
      <x:c r="V175" s="20" t="str">
        <x:v>S5-03</x:v>
      </x:c>
      <x:c r="W175" s="20" t="str">
        <x:v>Backlog / AC</x:v>
      </x:c>
    </x:row>
    <x:row r="176" ht="92" customHeight="1">
      <x:c r="A176" s="20" t="str">
        <x:v>TC-S5-03-03</x:v>
      </x:c>
      <x:c r="B176" s="20" t="n">
        <x:v>5</x:v>
      </x:c>
      <x:c r="C176" s="20" t="str">
        <x:v>EP-05</x:v>
      </x:c>
      <x:c r="D176" s="20" t="str">
        <x:v>S5-03</x:v>
      </x:c>
      <x:c r="E176" s="20" t="str">
        <x:v>S5-03-AC03</x:v>
      </x:c>
      <x:c r="F176" s="20" t="str">
        <x:v>Hồ sơ &amp; Pipeline</x:v>
      </x:c>
      <x:c r="G176" s="20" t="str">
        <x:v>Không cho phép bỏ qua giai đoạn Phỏng vấn khi đi thẳng tới Đề xuất offer, trừ khi Trưởng phòng Nhân sự xác nhận</x:v>
      </x:c>
      <x:c r="H176" s="20" t="str">
        <x:v>Negative / RBAC</x:v>
      </x:c>
      <x:c r="I176" s="20" t="str">
        <x:v>Critical</x:v>
      </x:c>
      <x:c r="J176" s="20" t="str">
        <x:v>Nhân viên tuyển dụng</x:v>
      </x:c>
      <x:c r="K176" s="20" t="str">
        <x:v>Có 1 vị trí được phân công, ứng viên giả lập thuộc nhiều giai đoạn.</x:v>
      </x:c>
      <x:c r="L176" s="20" t="str">
        <x:v>candidate01@example.test / 0900000001; nhãn Python; 20 CV mẫu</x:v>
      </x:c>
      <x:c r="M176" s="20" t="str">
        <x:v>1. Chuẩn bị dữ liệu: Có 1 vị trí được phân công, ứng viên giả lập thuộc nhiều giai đoạn.
2. Đăng nhập bằng tài khoản vai trò 'Nhân viên tuyển dụng' được phép thao tác.
3. Mở chức năng 'chuyển giai đoạn và ghi lý do khi loại ứng viên'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176" s="20" t="str">
        <x:v>Không cho phép bỏ qua giai đoạn Phỏng vấn khi đi thẳng tới Đề xuất offer, trừ khi Trưởng phòng Nhân sự xác nhận</x:v>
      </x:c>
      <x:c r="O176" s="20" t="str"/>
      <x:c r="P176" s="20" t="str">
        <x:v>Chưa chạy</x:v>
      </x:c>
      <x:c r="Q176" s="20" t="str"/>
      <x:c r="R176" s="20" t="str"/>
      <x:c r="S176" s="26" t="str"/>
      <x:c r="T176" s="20" t="str">
        <x:v>Ưu tiên tự động hóa</x:v>
      </x:c>
      <x:c r="U176" s="20" t="str">
        <x:v>Nguồn: 4. Product Backlog!F56, tiêu chí 3</x:v>
      </x:c>
      <x:c r="V176" s="20" t="str">
        <x:v>S5-03</x:v>
      </x:c>
      <x:c r="W176" s="20" t="str">
        <x:v>Backlog / AC</x:v>
      </x:c>
    </x:row>
    <x:row r="177" ht="92" customHeight="1">
      <x:c r="A177" s="20" t="str">
        <x:v>TC-S5-03-X01</x:v>
      </x:c>
      <x:c r="B177" s="20" t="n">
        <x:v>5</x:v>
      </x:c>
      <x:c r="C177" s="20" t="str">
        <x:v>EP-05</x:v>
      </x:c>
      <x:c r="D177" s="20" t="str">
        <x:v>S5-03</x:v>
      </x:c>
      <x:c r="E177" s="20" t="str">
        <x:v>QA-EXTRA</x:v>
      </x:c>
      <x:c r="F177" s="20" t="str">
        <x:v>Hồ sơ &amp; Pipeline</x:v>
      </x:c>
      <x:c r="G177" s="20" t="str">
        <x:v>Không được bỏ qua phỏng vấn để vào đề xuất offer</x:v>
      </x:c>
      <x:c r="H177" s="20" t="str">
        <x:v>Negative</x:v>
      </x:c>
      <x:c r="I177" s="20" t="str">
        <x:v>Critical</x:v>
      </x:c>
      <x:c r="J177" s="20" t="str">
        <x:v>Nhân viên tuyển dụng</x:v>
      </x:c>
      <x:c r="K177" s="20" t="str">
        <x:v>Có 1 vị trí được phân công, ứng viên giả lập thuộc nhiều giai đoạn.</x:v>
      </x:c>
      <x:c r="L177" s="20" t="str">
        <x:v>Ứng viên đang ở Sàng lọc</x:v>
      </x:c>
      <x:c r="M177" s="20" t="str">
        <x:v>1. Kéo thả từ Sàng lọc thẳng sang Đề xuất offer
2. Gọi PATCH stage trực tiếp
3. HR xác nhận ngoại lệ</x:v>
      </x:c>
      <x:c r="N177" s="20" t="str">
        <x:v>Hai lần đầu bị chặn; chỉ có xác nhận HR hợp lệ mới được vượt bước và có audit</x:v>
      </x:c>
      <x:c r="O177" s="20" t="str"/>
      <x:c r="P177" s="20" t="str">
        <x:v>Chưa chạy</x:v>
      </x:c>
      <x:c r="Q177" s="20" t="str"/>
      <x:c r="R177" s="20" t="str"/>
      <x:c r="S177" s="26" t="str"/>
      <x:c r="T177" s="20" t="str">
        <x:v>Ưu tiên tự động hóa</x:v>
      </x:c>
      <x:c r="U177" s="20" t="str">
        <x:v>Kịch bản rủi ro/biên; nếu vượt yêu cầu backlog, xác nhận PO.</x:v>
      </x:c>
      <x:c r="V177" s="20" t="str">
        <x:v>S5-03</x:v>
      </x:c>
      <x:c r="W177" s="20" t="str">
        <x:v>Bổ sung QA</x:v>
      </x:c>
    </x:row>
    <x:row r="178" ht="92" customHeight="1">
      <x:c r="A178" s="20" t="str">
        <x:v>TC-S5-04-01</x:v>
      </x:c>
      <x:c r="B178" s="20" t="n">
        <x:v>5</x:v>
      </x:c>
      <x:c r="C178" s="20" t="str">
        <x:v>EP-05</x:v>
      </x:c>
      <x:c r="D178" s="20" t="str">
        <x:v>S5-04</x:v>
      </x:c>
      <x:c r="E178" s="20" t="str">
        <x:v>S5-04-AC01</x:v>
      </x:c>
      <x:c r="F178" s="20" t="str">
        <x:v>Hồ sơ &amp; Pipeline</x:v>
      </x:c>
      <x:c r="G178" s="20" t="str">
        <x:v>Gắn nhiều nhãn cho một hồ sơ, nhãn khai báo được ở danh mục</x:v>
      </x:c>
      <x:c r="H178" s="20" t="str">
        <x:v>Functional</x:v>
      </x:c>
      <x:c r="I178" s="20" t="str">
        <x:v>High</x:v>
      </x:c>
      <x:c r="J178" s="20" t="str">
        <x:v>Nhân viên tuyển dụng</x:v>
      </x:c>
      <x:c r="K178" s="20" t="str">
        <x:v>Có 1 vị trí được phân công, ứng viên giả lập thuộc nhiều giai đoạn.</x:v>
      </x:c>
      <x:c r="L178" s="20" t="str">
        <x:v>candidate01@example.test / 0900000001; nhãn Python; 20 CV mẫu</x:v>
      </x:c>
      <x:c r="M178" s="20" t="str">
        <x:v>1. Chuẩn bị dữ liệu: Có 1 vị trí được phân công, ứng viên giả lập thuộc nhiều giai đoạn.
2. Đăng nhập bằng tài khoản vai trò 'Nhân viên tuyển dụng' được phép thao tác.
3. Mở chức năng 'sàng lọc hồ sơ bằng nhãn, đánh giá nhanh và ghi chú' trên môi trường staging.
4. Gắn hai nhãn Python và Senior cho một candidate
5. tạo nhãn mới trong danh mục
6. reload profile và lọc bằng nhãn.
7. Ghi kết quả thực tế và đối chiếu tiêu chí S5-04-AC01.</x:v>
      </x:c>
      <x:c r="N178" s="20" t="str">
        <x:v>Gắn nhiều nhãn cho một hồ sơ, nhãn khai báo được ở danh mục</x:v>
      </x:c>
      <x:c r="O178" s="20" t="str"/>
      <x:c r="P178" s="20" t="str">
        <x:v>Chưa chạy</x:v>
      </x:c>
      <x:c r="Q178" s="20" t="str"/>
      <x:c r="R178" s="20" t="str"/>
      <x:c r="S178" s="26" t="str"/>
      <x:c r="T178" s="20" t="str">
        <x:v>Ưu tiên tự động hóa</x:v>
      </x:c>
      <x:c r="U178" s="20" t="str">
        <x:v>Nguồn: 4. Product Backlog!F57, tiêu chí 1</x:v>
      </x:c>
      <x:c r="V178" s="20" t="str">
        <x:v>S5-04</x:v>
      </x:c>
      <x:c r="W178" s="20" t="str">
        <x:v>Backlog / AC</x:v>
      </x:c>
    </x:row>
    <x:row r="179" ht="92" customHeight="1">
      <x:c r="A179" s="20" t="str">
        <x:v>TC-S5-04-02</x:v>
      </x:c>
      <x:c r="B179" s="20" t="n">
        <x:v>5</x:v>
      </x:c>
      <x:c r="C179" s="20" t="str">
        <x:v>EP-05</x:v>
      </x:c>
      <x:c r="D179" s="20" t="str">
        <x:v>S5-04</x:v>
      </x:c>
      <x:c r="E179" s="20" t="str">
        <x:v>S5-04-AC02</x:v>
      </x:c>
      <x:c r="F179" s="20" t="str">
        <x:v>Hồ sơ &amp; Pipeline</x:v>
      </x:c>
      <x:c r="G179" s="20" t="str">
        <x:v>Đánh giá nhanh theo thang 1–5 sao</x:v>
      </x:c>
      <x:c r="H179" s="20" t="str">
        <x:v>Functional</x:v>
      </x:c>
      <x:c r="I179" s="20" t="str">
        <x:v>High</x:v>
      </x:c>
      <x:c r="J179" s="20" t="str">
        <x:v>Nhân viên tuyển dụng</x:v>
      </x:c>
      <x:c r="K179" s="20" t="str">
        <x:v>Có 1 vị trí được phân công, ứng viên giả lập thuộc nhiều giai đoạn.</x:v>
      </x:c>
      <x:c r="L179" s="20" t="str">
        <x:v>candidate01@example.test / 0900000001; nhãn Python; 20 CV mẫu</x:v>
      </x:c>
      <x:c r="M179" s="20" t="str">
        <x:v>1. Chuẩn bị dữ liệu: Có 1 vị trí được phân công, ứng viên giả lập thuộc nhiều giai đoạn.
2. Đăng nhập bằng tài khoản vai trò 'Nhân viên tuyển dụng' được phép thao tác.
3. Mở chức năng 'sàng lọc hồ sơ bằng nhãn, đánh giá nhanh và ghi chú' trên môi trường staging.
4. Đánh giá candidate từ 1 đến 5 sao, lưu từng mức và xem lại score trên danh sách/chi tiết.
5. Ghi kết quả thực tế và đối chiếu tiêu chí S5-04-AC02.</x:v>
      </x:c>
      <x:c r="N179" s="20" t="str">
        <x:v>Đánh giá nhanh theo thang 1–5 sao</x:v>
      </x:c>
      <x:c r="O179" s="20" t="str"/>
      <x:c r="P179" s="20" t="str">
        <x:v>Chưa chạy</x:v>
      </x:c>
      <x:c r="Q179" s="20" t="str"/>
      <x:c r="R179" s="20" t="str"/>
      <x:c r="S179" s="26" t="str"/>
      <x:c r="T179" s="20" t="str">
        <x:v>Ưu tiên tự động hóa</x:v>
      </x:c>
      <x:c r="U179" s="20" t="str">
        <x:v>Nguồn: 4. Product Backlog!F57, tiêu chí 2</x:v>
      </x:c>
      <x:c r="V179" s="20" t="str">
        <x:v>S5-04</x:v>
      </x:c>
      <x:c r="W179" s="20" t="str">
        <x:v>Backlog / AC</x:v>
      </x:c>
    </x:row>
    <x:row r="180" ht="92" customHeight="1">
      <x:c r="A180" s="20" t="str">
        <x:v>TC-S5-04-03</x:v>
      </x:c>
      <x:c r="B180" s="20" t="n">
        <x:v>5</x:v>
      </x:c>
      <x:c r="C180" s="20" t="str">
        <x:v>EP-05</x:v>
      </x:c>
      <x:c r="D180" s="20" t="str">
        <x:v>S5-04</x:v>
      </x:c>
      <x:c r="E180" s="20" t="str">
        <x:v>S5-04-AC03</x:v>
      </x:c>
      <x:c r="F180" s="20" t="str">
        <x:v>Hồ sơ &amp; Pipeline</x:v>
      </x:c>
      <x:c r="G180" s="20" t="str">
        <x:v>Ghi chú nội bộ có ghi tên người viết, ứng viên không bao giờ nhìn thấy</x:v>
      </x:c>
      <x:c r="H180" s="20" t="str">
        <x:v>Functional</x:v>
      </x:c>
      <x:c r="I180" s="20" t="str">
        <x:v>High</x:v>
      </x:c>
      <x:c r="J180" s="20" t="str">
        <x:v>Nhân viên tuyển dụng</x:v>
      </x:c>
      <x:c r="K180" s="20" t="str">
        <x:v>Có 1 vị trí được phân công, ứng viên giả lập thuộc nhiều giai đoạn.</x:v>
      </x:c>
      <x:c r="L180" s="20" t="str">
        <x:v>candidate01@example.test / 0900000001; nhãn Python; 20 CV mẫu</x:v>
      </x:c>
      <x:c r="M180" s="20" t="str">
        <x:v>1. Chuẩn bị dữ liệu: Có 1 vị trí được phân công, ứng viên giả lập thuộc nhiều giai đoạn.
2. Đăng nhập bằng tài khoản vai trò 'Nhân viên tuyển dụng' được phép thao tác.
3. Mở chức năng 'sàng lọc hồ sơ bằng nhãn, đánh giá nhanh và ghi chú' trên môi trường staging.
4. Thực hiện ít nhất hai thao tác ở thời điểm và tài khoản khác nhau; mở lịch sử/nhật ký.
5. Đối chiếu actor, hành động, dấu thời gian và thứ tự sự kiện.</x:v>
      </x:c>
      <x:c r="N180" s="20" t="str">
        <x:v>Ghi chú nội bộ có ghi tên người viết, ứng viên không bao giờ nhìn thấy</x:v>
      </x:c>
      <x:c r="O180" s="20" t="str"/>
      <x:c r="P180" s="20" t="str">
        <x:v>Chưa chạy</x:v>
      </x:c>
      <x:c r="Q180" s="20" t="str"/>
      <x:c r="R180" s="20" t="str"/>
      <x:c r="S180" s="26" t="str"/>
      <x:c r="T180" s="20" t="str">
        <x:v>Ưu tiên tự động hóa</x:v>
      </x:c>
      <x:c r="U180" s="20" t="str">
        <x:v>Nguồn: 4. Product Backlog!F57, tiêu chí 3</x:v>
      </x:c>
      <x:c r="V180" s="20" t="str">
        <x:v>S5-04</x:v>
      </x:c>
      <x:c r="W180" s="20" t="str">
        <x:v>Backlog / AC</x:v>
      </x:c>
    </x:row>
    <x:row r="181" ht="92" customHeight="1">
      <x:c r="A181" s="20" t="str">
        <x:v>TC-S5-04-X01</x:v>
      </x:c>
      <x:c r="B181" s="20" t="n">
        <x:v>5</x:v>
      </x:c>
      <x:c r="C181" s="20" t="str">
        <x:v>EP-05</x:v>
      </x:c>
      <x:c r="D181" s="20" t="str">
        <x:v>S5-04</x:v>
      </x:c>
      <x:c r="E181" s="20" t="str">
        <x:v>QA-EXTRA</x:v>
      </x:c>
      <x:c r="F181" s="20" t="str">
        <x:v>Hồ sơ &amp; Pipeline</x:v>
      </x:c>
      <x:c r="G181" s="20" t="str">
        <x:v>Không cho ghi chú nội bộ bị trả về cổng ứng viên</x:v>
      </x:c>
      <x:c r="H181" s="20" t="str">
        <x:v>Security / Privacy</x:v>
      </x:c>
      <x:c r="I181" s="20" t="str">
        <x:v>High</x:v>
      </x:c>
      <x:c r="J181" s="20" t="str">
        <x:v>Nhân viên tuyển dụng</x:v>
      </x:c>
      <x:c r="K181" s="20" t="str">
        <x:v>Có 1 vị trí được phân công, ứng viên giả lập thuộc nhiều giai đoạn.</x:v>
      </x:c>
      <x:c r="L181" s="20" t="str">
        <x:v>Ghi chú nội bộ chứa TEST-PRIVATE</x:v>
      </x:c>
      <x:c r="M181" s="20" t="str">
        <x:v>1. Recruiter ghi chú và đánh sao
2. Ứng viên tra cứu trạng thái
3. Kiểm tra JSON public API</x:v>
      </x:c>
      <x:c r="N181" s="20" t="str">
        <x:v>Không lộ nội dung ghi chú, rating hay tên tác giả trên UI lẫn API công khai</x:v>
      </x:c>
      <x:c r="O181" s="20" t="str"/>
      <x:c r="P181" s="20" t="str">
        <x:v>Chưa chạy</x:v>
      </x:c>
      <x:c r="Q181" s="20" t="str"/>
      <x:c r="R181" s="20" t="str"/>
      <x:c r="S181" s="26" t="str"/>
      <x:c r="T181" s="20" t="str">
        <x:v>Ưu tiên tự động hóa</x:v>
      </x:c>
      <x:c r="U181" s="20" t="str">
        <x:v>Kịch bản rủi ro/biên; nếu vượt yêu cầu backlog, xác nhận PO.</x:v>
      </x:c>
      <x:c r="V181" s="20" t="str">
        <x:v>S5-04</x:v>
      </x:c>
      <x:c r="W181" s="20" t="str">
        <x:v>Bổ sung QA</x:v>
      </x:c>
    </x:row>
    <x:row r="182" ht="92" customHeight="1">
      <x:c r="A182" s="20" t="str">
        <x:v>TC-S5-05-01</x:v>
      </x:c>
      <x:c r="B182" s="20" t="n">
        <x:v>5</x:v>
      </x:c>
      <x:c r="C182" s="20" t="str">
        <x:v>EP-05</x:v>
      </x:c>
      <x:c r="D182" s="20" t="str">
        <x:v>S5-05</x:v>
      </x:c>
      <x:c r="E182" s="20" t="str">
        <x:v>S5-05-AC01</x:v>
      </x:c>
      <x:c r="F182" s="20" t="str">
        <x:v>Hồ sơ &amp; Pipeline</x:v>
      </x:c>
      <x:c r="G182" s="20" t="str">
        <x:v>Lọc theo vị trí, giai đoạn, nguồn, nhãn, khoảng thời gian nộp, mức đánh giá</x:v>
      </x:c>
      <x:c r="H182" s="20" t="str">
        <x:v>Functional</x:v>
      </x:c>
      <x:c r="I182" s="20" t="str">
        <x:v>High</x:v>
      </x:c>
      <x:c r="J182" s="20" t="str">
        <x:v>Nhân viên tuyển dụng</x:v>
      </x:c>
      <x:c r="K182" s="20" t="str">
        <x:v>Có 1 vị trí được phân công, ứng viên giả lập thuộc nhiều giai đoạn.</x:v>
      </x:c>
      <x:c r="L182" s="20" t="str">
        <x:v>candidate01@example.test / 0900000001; nhãn Python; 20 CV mẫu</x:v>
      </x:c>
      <x:c r="M182" s="20" t="str">
        <x:v>1. Chuẩn bị dữ liệu: Có 1 vị trí được phân công, ứng viên giả lập thuộc nhiều giai đoạn.
2. Đăng nhập bằng tài khoản vai trò 'Nhân viên tuyển dụng' được phép thao tác.
3. Mở chức năng 'tìm kiếm và lọc ứng viên theo nhiều điều kiện' trên môi trường staging.
4. Tạo dữ liệu đối chứng thuộc và không thuộc điều kiện; áp dụng bộ lọc/tìm kiếm/sắp xếp tương ứng.
5. Đối chiếu danh sách/kết quả tổng hợp với dữ liệu gốc.</x:v>
      </x:c>
      <x:c r="N182" s="20" t="str">
        <x:v>Lọc theo vị trí, giai đoạn, nguồn, nhãn, khoảng thời gian nộp, mức đánh giá</x:v>
      </x:c>
      <x:c r="O182" s="20" t="str"/>
      <x:c r="P182" s="20" t="str">
        <x:v>Chưa chạy</x:v>
      </x:c>
      <x:c r="Q182" s="20" t="str"/>
      <x:c r="R182" s="20" t="str"/>
      <x:c r="S182" s="26" t="str"/>
      <x:c r="T182" s="20" t="str">
        <x:v>Ưu tiên tự động hóa</x:v>
      </x:c>
      <x:c r="U182" s="20" t="str">
        <x:v>Nguồn: 4. Product Backlog!F58, tiêu chí 1</x:v>
      </x:c>
      <x:c r="V182" s="20" t="str">
        <x:v>S5-05</x:v>
      </x:c>
      <x:c r="W182" s="20" t="str">
        <x:v>Backlog / AC</x:v>
      </x:c>
    </x:row>
    <x:row r="183" ht="92" customHeight="1">
      <x:c r="A183" s="20" t="str">
        <x:v>TC-S5-05-02</x:v>
      </x:c>
      <x:c r="B183" s="20" t="n">
        <x:v>5</x:v>
      </x:c>
      <x:c r="C183" s="20" t="str">
        <x:v>EP-05</x:v>
      </x:c>
      <x:c r="D183" s="20" t="str">
        <x:v>S5-05</x:v>
      </x:c>
      <x:c r="E183" s="20" t="str">
        <x:v>S5-05-AC02</x:v>
      </x:c>
      <x:c r="F183" s="20" t="str">
        <x:v>Hồ sơ &amp; Pipeline</x:v>
      </x:c>
      <x:c r="G183" s="20" t="str">
        <x:v>Tìm theo tên, email, số điện thoại và từ khoá trong thư giới thiệu</x:v>
      </x:c>
      <x:c r="H183" s="20" t="str">
        <x:v>Functional</x:v>
      </x:c>
      <x:c r="I183" s="20" t="str">
        <x:v>High</x:v>
      </x:c>
      <x:c r="J183" s="20" t="str">
        <x:v>Nhân viên tuyển dụng</x:v>
      </x:c>
      <x:c r="K183" s="20" t="str">
        <x:v>Có 1 vị trí được phân công, ứng viên giả lập thuộc nhiều giai đoạn.</x:v>
      </x:c>
      <x:c r="L183" s="20" t="str">
        <x:v>candidate01@example.test / 0900000001; nhãn Python; 20 CV mẫu</x:v>
      </x:c>
      <x:c r="M183" s="20" t="str">
        <x:v>1. Chuẩn bị dữ liệu: Có 1 vị trí được phân công, ứng viên giả lập thuộc nhiều giai đoạn.
2. Đăng nhập bằng tài khoản vai trò 'Nhân viên tuyển dụng' được phép thao tác.
3. Mở chức năng 'tìm kiếm và lọc ứng viên theo nhiều điều kiện' trên môi trường staging.
4. Thực hiện thao tác phát sinh email/thông báo; đọc hộp thư sandbox và thông báo trong ứng dụng.
5. Đối chiếu người nhận, nội dung, thời điểm, trạng thái và việc chống gửi trùng.</x:v>
      </x:c>
      <x:c r="N183" s="20" t="str">
        <x:v>Tìm theo tên, email, số điện thoại và từ khoá trong thư giới thiệu</x:v>
      </x:c>
      <x:c r="O183" s="20" t="str"/>
      <x:c r="P183" s="20" t="str">
        <x:v>Chưa chạy</x:v>
      </x:c>
      <x:c r="Q183" s="20" t="str"/>
      <x:c r="R183" s="20" t="str"/>
      <x:c r="S183" s="26" t="str"/>
      <x:c r="T183" s="20" t="str">
        <x:v>Ưu tiên tự động hóa</x:v>
      </x:c>
      <x:c r="U183" s="20" t="str">
        <x:v>Nguồn: 4. Product Backlog!F58, tiêu chí 2</x:v>
      </x:c>
      <x:c r="V183" s="20" t="str">
        <x:v>S5-05</x:v>
      </x:c>
      <x:c r="W183" s="20" t="str">
        <x:v>Backlog / AC</x:v>
      </x:c>
    </x:row>
    <x:row r="184" ht="92" customHeight="1">
      <x:c r="A184" s="20" t="str">
        <x:v>TC-S5-05-03</x:v>
      </x:c>
      <x:c r="B184" s="20" t="n">
        <x:v>5</x:v>
      </x:c>
      <x:c r="C184" s="20" t="str">
        <x:v>EP-05</x:v>
      </x:c>
      <x:c r="D184" s="20" t="str">
        <x:v>S5-05</x:v>
      </x:c>
      <x:c r="E184" s="20" t="str">
        <x:v>S5-05-AC03</x:v>
      </x:c>
      <x:c r="F184" s="20" t="str">
        <x:v>Hồ sơ &amp; Pipeline</x:v>
      </x:c>
      <x:c r="G184" s="20" t="str">
        <x:v>Lưu lại được bộ lọc hay dùng</x:v>
      </x:c>
      <x:c r="H184" s="20" t="str">
        <x:v>Functional</x:v>
      </x:c>
      <x:c r="I184" s="20" t="str">
        <x:v>High</x:v>
      </x:c>
      <x:c r="J184" s="20" t="str">
        <x:v>Nhân viên tuyển dụng</x:v>
      </x:c>
      <x:c r="K184" s="20" t="str">
        <x:v>Có 1 vị trí được phân công, ứng viên giả lập thuộc nhiều giai đoạn.</x:v>
      </x:c>
      <x:c r="L184" s="20" t="str">
        <x:v>candidate01@example.test / 0900000001; nhãn Python; 20 CV mẫu</x:v>
      </x:c>
      <x:c r="M184" s="20" t="str">
        <x:v>1. Chuẩn bị dữ liệu: Có 1 vị trí được phân công, ứng viên giả lập thuộc nhiều giai đoạn.
2. Đăng nhập bằng tài khoản vai trò 'Nhân viên tuyển dụng' được phép thao tác.
3. Mở chức năng 'tìm kiếm và lọc ứng viên theo nhiều điều kiện' trên môi trường staging.
4. Tạo dữ liệu đối chứng thuộc và không thuộc điều kiện; áp dụng bộ lọc/tìm kiếm/sắp xếp tương ứng.
5. Đối chiếu danh sách/kết quả tổng hợp với dữ liệu gốc.</x:v>
      </x:c>
      <x:c r="N184" s="20" t="str">
        <x:v>Lưu lại được bộ lọc hay dùng</x:v>
      </x:c>
      <x:c r="O184" s="20" t="str"/>
      <x:c r="P184" s="20" t="str">
        <x:v>Chưa chạy</x:v>
      </x:c>
      <x:c r="Q184" s="20" t="str"/>
      <x:c r="R184" s="20" t="str"/>
      <x:c r="S184" s="26" t="str"/>
      <x:c r="T184" s="20" t="str">
        <x:v>Ưu tiên tự động hóa</x:v>
      </x:c>
      <x:c r="U184" s="20" t="str">
        <x:v>Nguồn: 4. Product Backlog!F58, tiêu chí 3</x:v>
      </x:c>
      <x:c r="V184" s="20" t="str">
        <x:v>S5-05</x:v>
      </x:c>
      <x:c r="W184" s="20" t="str">
        <x:v>Backlog / AC</x:v>
      </x:c>
    </x:row>
    <x:row r="185" ht="92" customHeight="1">
      <x:c r="A185" s="20" t="str">
        <x:v>TC-S5-05-X01</x:v>
      </x:c>
      <x:c r="B185" s="20" t="n">
        <x:v>5</x:v>
      </x:c>
      <x:c r="C185" s="20" t="str">
        <x:v>EP-05</x:v>
      </x:c>
      <x:c r="D185" s="20" t="str">
        <x:v>S5-05</x:v>
      </x:c>
      <x:c r="E185" s="20" t="str">
        <x:v>QA-EXTRA</x:v>
      </x:c>
      <x:c r="F185" s="20" t="str">
        <x:v>Hồ sơ &amp; Pipeline</x:v>
      </x:c>
      <x:c r="G185" s="20" t="str">
        <x:v>Bộ lọc kết hợp và phân trang không mất kết quả</x:v>
      </x:c>
      <x:c r="H185" s="20" t="str">
        <x:v>Boundary</x:v>
      </x:c>
      <x:c r="I185" s="20" t="str">
        <x:v>High</x:v>
      </x:c>
      <x:c r="J185" s="20" t="str">
        <x:v>Nhân viên tuyển dụng</x:v>
      </x:c>
      <x:c r="K185" s="20" t="str">
        <x:v>Có 1 vị trí được phân công, ứng viên giả lập thuộc nhiều giai đoạn.</x:v>
      </x:c>
      <x:c r="L185" s="20" t="str">
        <x:v>21 hồ sơ; filter nguồn Referral, nhãn Python, vòng phỏng vấn</x:v>
      </x:c>
      <x:c r="M185" s="20" t="str">
        <x:v>1. Chọn 3 điều kiện
2. Sang trang 2
3. Quay lại trang 1 và mở saved filter</x:v>
      </x:c>
      <x:c r="N185" s="20" t="str">
        <x:v>Kết quả giao tất cả điều kiện, tổng số và phân trang chính xác; bộ lọc lưu/khôi phục được</x:v>
      </x:c>
      <x:c r="O185" s="20" t="str"/>
      <x:c r="P185" s="20" t="str">
        <x:v>Chưa chạy</x:v>
      </x:c>
      <x:c r="Q185" s="20" t="str"/>
      <x:c r="R185" s="20" t="str"/>
      <x:c r="S185" s="26" t="str"/>
      <x:c r="T185" s="20" t="str">
        <x:v>Ưu tiên tự động hóa</x:v>
      </x:c>
      <x:c r="U185" s="20" t="str">
        <x:v>Kịch bản rủi ro/biên; nếu vượt yêu cầu backlog, xác nhận PO.</x:v>
      </x:c>
      <x:c r="V185" s="20" t="str">
        <x:v>S5-05</x:v>
      </x:c>
      <x:c r="W185" s="20" t="str">
        <x:v>Bổ sung QA</x:v>
      </x:c>
    </x:row>
    <x:row r="186" ht="92" customHeight="1">
      <x:c r="A186" s="20" t="str">
        <x:v>TC-S5-06-01</x:v>
      </x:c>
      <x:c r="B186" s="20" t="n">
        <x:v>5</x:v>
      </x:c>
      <x:c r="C186" s="20" t="str">
        <x:v>EP-05</x:v>
      </x:c>
      <x:c r="D186" s="20" t="str">
        <x:v>S5-06</x:v>
      </x:c>
      <x:c r="E186" s="20" t="str">
        <x:v>S5-06-AC01</x:v>
      </x:c>
      <x:c r="F186" s="20" t="str">
        <x:v>Hồ sơ &amp; Pipeline</x:v>
      </x:c>
      <x:c r="G186" s="20" t="str">
        <x:v>Ứng viên bị loại ở vòng cuối được đánh dấu đưa vào kho tiềm năng kèm lý do</x:v>
      </x:c>
      <x:c r="H186" s="20" t="str">
        <x:v>Functional</x:v>
      </x:c>
      <x:c r="I186" s="20" t="str">
        <x:v>Medium</x:v>
      </x:c>
      <x:c r="J186" s="20" t="str">
        <x:v>Trưởng phòng Nhân sự</x:v>
      </x:c>
      <x:c r="K186" s="20" t="str">
        <x:v>Có 1 vị trí được phân công, ứng viên giả lập thuộc nhiều giai đoạn.</x:v>
      </x:c>
      <x:c r="L186" s="20" t="str">
        <x:v>candidate01@example.test / 0900000001; nhãn Python; 20 CV mẫu</x:v>
      </x:c>
      <x:c r="M186" s="20" t="str">
        <x:v>1. Chuẩn bị dữ liệu: Có 1 vị trí được phân công, ứng viên giả lập thuộc nhiều giai đoạn.
2. Đăng nhập bằng tài khoản vai trò 'Trưởng phòng Nhân sự' được phép thao tác.
3. Mở chức năng 'quản lý kho ứng viên tiềm năng' trên môi trường staging.
4. Loại ứng viên sau vòng cuối
5. bật Đưa vào talent pool, nhập lý do
6. tìm lại trong kho.
7. Ghi kết quả thực tế và đối chiếu tiêu chí S5-06-AC01.</x:v>
      </x:c>
      <x:c r="N186" s="20" t="str">
        <x:v>Ứng viên bị loại ở vòng cuối được đánh dấu đưa vào kho tiềm năng kèm lý do</x:v>
      </x:c>
      <x:c r="O186" s="20" t="str"/>
      <x:c r="P186" s="20" t="str">
        <x:v>Chưa chạy</x:v>
      </x:c>
      <x:c r="Q186" s="20" t="str"/>
      <x:c r="R186" s="20" t="str"/>
      <x:c r="S186" s="26" t="str"/>
      <x:c r="T186" s="20" t="str">
        <x:v>Cân nhắc</x:v>
      </x:c>
      <x:c r="U186" s="20" t="str">
        <x:v>Nguồn: 4. Product Backlog!F59, tiêu chí 1</x:v>
      </x:c>
      <x:c r="V186" s="20" t="str">
        <x:v>S5-06</x:v>
      </x:c>
      <x:c r="W186" s="20" t="str">
        <x:v>Backlog / AC</x:v>
      </x:c>
    </x:row>
    <x:row r="187" ht="92" customHeight="1">
      <x:c r="A187" s="20" t="str">
        <x:v>TC-S5-06-02</x:v>
      </x:c>
      <x:c r="B187" s="20" t="n">
        <x:v>5</x:v>
      </x:c>
      <x:c r="C187" s="20" t="str">
        <x:v>EP-05</x:v>
      </x:c>
      <x:c r="D187" s="20" t="str">
        <x:v>S5-06</x:v>
      </x:c>
      <x:c r="E187" s="20" t="str">
        <x:v>S5-06-AC02</x:v>
      </x:c>
      <x:c r="F187" s="20" t="str">
        <x:v>Hồ sơ &amp; Pipeline</x:v>
      </x:c>
      <x:c r="G187" s="20" t="str">
        <x:v>Kho tìm kiếm được theo chức danh quan tâm và kỹ năng</x:v>
      </x:c>
      <x:c r="H187" s="20" t="str">
        <x:v>Functional</x:v>
      </x:c>
      <x:c r="I187" s="20" t="str">
        <x:v>Medium</x:v>
      </x:c>
      <x:c r="J187" s="20" t="str">
        <x:v>Trưởng phòng Nhân sự</x:v>
      </x:c>
      <x:c r="K187" s="20" t="str">
        <x:v>Có 1 vị trí được phân công, ứng viên giả lập thuộc nhiều giai đoạn.</x:v>
      </x:c>
      <x:c r="L187" s="20" t="str">
        <x:v>candidate01@example.test / 0900000001; nhãn Python; 20 CV mẫu</x:v>
      </x:c>
      <x:c r="M187" s="20" t="str">
        <x:v>1. Chuẩn bị dữ liệu: Có 1 vị trí được phân công, ứng viên giả lập thuộc nhiều giai đoạn.
2. Đăng nhập bằng tài khoản vai trò 'Trưởng phòng Nhân sự' được phép thao tác.
3. Mở chức năng 'quản lý kho ứng viên tiềm năng' trên môi trường staging.
4. Tạo dữ liệu đối chứng thuộc và không thuộc điều kiện; áp dụng bộ lọc/tìm kiếm/sắp xếp tương ứng.
5. Đối chiếu danh sách/kết quả tổng hợp với dữ liệu gốc.</x:v>
      </x:c>
      <x:c r="N187" s="20" t="str">
        <x:v>Kho tìm kiếm được theo chức danh quan tâm và kỹ năng</x:v>
      </x:c>
      <x:c r="O187" s="20" t="str"/>
      <x:c r="P187" s="20" t="str">
        <x:v>Chưa chạy</x:v>
      </x:c>
      <x:c r="Q187" s="20" t="str"/>
      <x:c r="R187" s="20" t="str"/>
      <x:c r="S187" s="26" t="str"/>
      <x:c r="T187" s="20" t="str">
        <x:v>Cân nhắc</x:v>
      </x:c>
      <x:c r="U187" s="20" t="str">
        <x:v>Nguồn: 4. Product Backlog!F59, tiêu chí 2</x:v>
      </x:c>
      <x:c r="V187" s="20" t="str">
        <x:v>S5-06</x:v>
      </x:c>
      <x:c r="W187" s="20" t="str">
        <x:v>Backlog / AC</x:v>
      </x:c>
    </x:row>
    <x:row r="188" ht="92" customHeight="1">
      <x:c r="A188" s="20" t="str">
        <x:v>TC-S5-06-03</x:v>
      </x:c>
      <x:c r="B188" s="20" t="n">
        <x:v>5</x:v>
      </x:c>
      <x:c r="C188" s="20" t="str">
        <x:v>EP-05</x:v>
      </x:c>
      <x:c r="D188" s="20" t="str">
        <x:v>S5-06</x:v>
      </x:c>
      <x:c r="E188" s="20" t="str">
        <x:v>S5-06-AC03</x:v>
      </x:c>
      <x:c r="F188" s="20" t="str">
        <x:v>Hồ sơ &amp; Pipeline</x:v>
      </x:c>
      <x:c r="G188" s="20" t="str">
        <x:v>Khi mở vị trí mới, hệ thống gợi ý ứng viên phù hợp từ kho</x:v>
      </x:c>
      <x:c r="H188" s="20" t="str">
        <x:v>Functional</x:v>
      </x:c>
      <x:c r="I188" s="20" t="str">
        <x:v>Medium</x:v>
      </x:c>
      <x:c r="J188" s="20" t="str">
        <x:v>Trưởng phòng Nhân sự</x:v>
      </x:c>
      <x:c r="K188" s="20" t="str">
        <x:v>Có 1 vị trí được phân công, ứng viên giả lập thuộc nhiều giai đoạn.</x:v>
      </x:c>
      <x:c r="L188" s="20" t="str">
        <x:v>candidate01@example.test / 0900000001; nhãn Python; 20 CV mẫu</x:v>
      </x:c>
      <x:c r="M188" s="20" t="str">
        <x:v>1. Chuẩn bị dữ liệu: Có 1 vị trí được phân công, ứng viên giả lập thuộc nhiều giai đoạn.
2. Đăng nhập bằng tài khoản vai trò 'Trưởng phòng Nhân sự' được phép thao tác.
3. Mở chức năng 'quản lý kho ứng viên tiềm năng' trên môi trường staging.
4. Tạo vị trí Backend mới có tag kỹ năng Python
5. mở kho talent pool và đối chiếu gợi ý theo bộ quy tắc PO chốt.
6. Ghi kết quả thực tế và đối chiếu tiêu chí S5-06-AC03.</x:v>
      </x:c>
      <x:c r="N188" s="20" t="str">
        <x:v>Khi mở vị trí mới, hệ thống gợi ý ứng viên phù hợp từ kho</x:v>
      </x:c>
      <x:c r="O188" s="20" t="str"/>
      <x:c r="P188" s="20" t="str">
        <x:v>Chưa chạy</x:v>
      </x:c>
      <x:c r="Q188" s="20" t="str"/>
      <x:c r="R188" s="20" t="str"/>
      <x:c r="S188" s="26" t="str"/>
      <x:c r="T188" s="20" t="str">
        <x:v>Cân nhắc</x:v>
      </x:c>
      <x:c r="U188" s="20" t="str">
        <x:v>Nguồn: 4. Product Backlog!F59, tiêu chí 3</x:v>
      </x:c>
      <x:c r="V188" s="20" t="str">
        <x:v>S5-06</x:v>
      </x:c>
      <x:c r="W188" s="20" t="str">
        <x:v>Backlog / AC</x:v>
      </x:c>
    </x:row>
    <x:row r="189" ht="92" customHeight="1">
      <x:c r="A189" s="20" t="str">
        <x:v>TC-S5-06-X01</x:v>
      </x:c>
      <x:c r="B189" s="20" t="n">
        <x:v>5</x:v>
      </x:c>
      <x:c r="C189" s="20" t="str">
        <x:v>EP-05</x:v>
      </x:c>
      <x:c r="D189" s="20" t="str">
        <x:v>S5-06</x:v>
      </x:c>
      <x:c r="E189" s="20" t="str">
        <x:v>QA-EXTRA</x:v>
      </x:c>
      <x:c r="F189" s="20" t="str">
        <x:v>Hồ sơ &amp; Pipeline</x:v>
      </x:c>
      <x:c r="G189" s="20" t="str">
        <x:v>Kho ứng viên tiềm năng không tái sử dụng hồ sơ đã xóa</x:v>
      </x:c>
      <x:c r="H189" s="20" t="str">
        <x:v>Security / Privacy</x:v>
      </x:c>
      <x:c r="I189" s="20" t="str">
        <x:v>Medium</x:v>
      </x:c>
      <x:c r="J189" s="20" t="str">
        <x:v>Trưởng phòng Nhân sự</x:v>
      </x:c>
      <x:c r="K189" s="20" t="str">
        <x:v>Có 1 vị trí được phân công, ứng viên giả lập thuộc nhiều giai đoạn.</x:v>
      </x:c>
      <x:c r="L189" s="20" t="str">
        <x:v>Ứng viên tiềm năng sau đó yêu cầu xoá dữ liệu</x:v>
      </x:c>
      <x:c r="M189" s="20" t="str">
        <x:v>1. Đưa ứng viên vào talent pool
2. Thực hiện xóa dữ liệu theo yêu cầu
3. Tìm kiếm và tạo REQ mới</x:v>
      </x:c>
      <x:c r="N189" s="20" t="str">
        <x:v>Không còn hiển thị/gợi ý dữ liệu cá nhân đã xóa hoặc giữ quá phạm vi chính sách</x:v>
      </x:c>
      <x:c r="O189" s="20" t="str"/>
      <x:c r="P189" s="20" t="str">
        <x:v>Chưa chạy</x:v>
      </x:c>
      <x:c r="Q189" s="20" t="str"/>
      <x:c r="R189" s="20" t="str"/>
      <x:c r="S189" s="26" t="str"/>
      <x:c r="T189" s="20" t="str">
        <x:v>Cân nhắc</x:v>
      </x:c>
      <x:c r="U189" s="20" t="str">
        <x:v>Kịch bản rủi ro/biên; nếu vượt yêu cầu backlog, xác nhận PO.</x:v>
      </x:c>
      <x:c r="V189" s="20" t="str">
        <x:v>S5-06</x:v>
      </x:c>
      <x:c r="W189" s="20" t="str">
        <x:v>Bổ sung QA</x:v>
      </x:c>
    </x:row>
    <x:row r="190" ht="92" customHeight="1">
      <x:c r="A190" s="20" t="str">
        <x:v>TC-S5-07-01</x:v>
      </x:c>
      <x:c r="B190" s="20" t="n">
        <x:v>5</x:v>
      </x:c>
      <x:c r="C190" s="20" t="str">
        <x:v>EP-05</x:v>
      </x:c>
      <x:c r="D190" s="20" t="str">
        <x:v>S5-07</x:v>
      </x:c>
      <x:c r="E190" s="20" t="str">
        <x:v>S5-07-AC01</x:v>
      </x:c>
      <x:c r="F190" s="20" t="str">
        <x:v>Hồ sơ &amp; Pipeline</x:v>
      </x:c>
      <x:c r="G190" s="20" t="str">
        <x:v>Dòng thời gian gồm: nộp hồ sơ, chuyển giai đoạn, email đã gửi, lịch phỏng vấn, đánh giá</x:v>
      </x:c>
      <x:c r="H190" s="20" t="str">
        <x:v>Functional</x:v>
      </x:c>
      <x:c r="I190" s="20" t="str">
        <x:v>High</x:v>
      </x:c>
      <x:c r="J190" s="20" t="str">
        <x:v>Nhân viên tuyển dụng</x:v>
      </x:c>
      <x:c r="K190" s="20" t="str">
        <x:v>Có 1 vị trí được phân công, ứng viên giả lập thuộc nhiều giai đoạn.</x:v>
      </x:c>
      <x:c r="L190" s="20" t="str">
        <x:v>candidate01@example.test / 0900000001; nhãn Python; 20 CV mẫu</x:v>
      </x:c>
      <x:c r="M190" s="20" t="str">
        <x:v>1. Chuẩn bị dữ liệu: Có 1 vị trí được phân công, ứng viên giả lập thuộc nhiều giai đoạn.
2. Đăng nhập bằng tài khoản vai trò 'Nhân viên tuyển dụng' được phép thao tác.
3. Mở chức năng 'xem nhật ký toàn bộ tương tác với một ứng viên' trên môi trường staging.
4. Thực hiện thao tác phát sinh email/thông báo; đọc hộp thư sandbox và thông báo trong ứng dụng.
5. Đối chiếu người nhận, nội dung, thời điểm, trạng thái và việc chống gửi trùng.</x:v>
      </x:c>
      <x:c r="N190" s="20" t="str">
        <x:v>Dòng thời gian gồm: nộp hồ sơ, chuyển giai đoạn, email đã gửi, lịch phỏng vấn, đánh giá</x:v>
      </x:c>
      <x:c r="O190" s="20" t="str"/>
      <x:c r="P190" s="20" t="str">
        <x:v>Chưa chạy</x:v>
      </x:c>
      <x:c r="Q190" s="20" t="str"/>
      <x:c r="R190" s="20" t="str"/>
      <x:c r="S190" s="26" t="str"/>
      <x:c r="T190" s="20" t="str">
        <x:v>Ưu tiên tự động hóa</x:v>
      </x:c>
      <x:c r="U190" s="20" t="str">
        <x:v>Nguồn: 4. Product Backlog!F60, tiêu chí 1</x:v>
      </x:c>
      <x:c r="V190" s="20" t="str">
        <x:v>S5-07</x:v>
      </x:c>
      <x:c r="W190" s="20" t="str">
        <x:v>Backlog / AC</x:v>
      </x:c>
    </x:row>
    <x:row r="191" ht="92" customHeight="1">
      <x:c r="A191" s="20" t="str">
        <x:v>TC-S5-07-02</x:v>
      </x:c>
      <x:c r="B191" s="20" t="n">
        <x:v>5</x:v>
      </x:c>
      <x:c r="C191" s="20" t="str">
        <x:v>EP-05</x:v>
      </x:c>
      <x:c r="D191" s="20" t="str">
        <x:v>S5-07</x:v>
      </x:c>
      <x:c r="E191" s="20" t="str">
        <x:v>S5-07-AC02</x:v>
      </x:c>
      <x:c r="F191" s="20" t="str">
        <x:v>Hồ sơ &amp; Pipeline</x:v>
      </x:c>
      <x:c r="G191" s="20" t="str">
        <x:v>Sắp xếp mới nhất trước</x:v>
      </x:c>
      <x:c r="H191" s="20" t="str">
        <x:v>Functional</x:v>
      </x:c>
      <x:c r="I191" s="20" t="str">
        <x:v>High</x:v>
      </x:c>
      <x:c r="J191" s="20" t="str">
        <x:v>Nhân viên tuyển dụng</x:v>
      </x:c>
      <x:c r="K191" s="20" t="str">
        <x:v>Có 1 vị trí được phân công, ứng viên giả lập thuộc nhiều giai đoạn.</x:v>
      </x:c>
      <x:c r="L191" s="20" t="str">
        <x:v>candidate01@example.test / 0900000001; nhãn Python; 20 CV mẫu</x:v>
      </x:c>
      <x:c r="M191" s="20" t="str">
        <x:v>1. Chuẩn bị dữ liệu: Có 1 vị trí được phân công, ứng viên giả lập thuộc nhiều giai đoạn.
2. Đăng nhập bằng tài khoản vai trò 'Nhân viên tuyển dụng' được phép thao tác.
3. Mở chức năng 'xem nhật ký toàn bộ tương tác với một ứng viên' trên môi trường staging.
4. Tạo dữ liệu đối chứng thuộc và không thuộc điều kiện; áp dụng bộ lọc/tìm kiếm/sắp xếp tương ứng.
5. Đối chiếu danh sách/kết quả tổng hợp với dữ liệu gốc.</x:v>
      </x:c>
      <x:c r="N191" s="20" t="str">
        <x:v>Sắp xếp mới nhất trước</x:v>
      </x:c>
      <x:c r="O191" s="20" t="str"/>
      <x:c r="P191" s="20" t="str">
        <x:v>Chưa chạy</x:v>
      </x:c>
      <x:c r="Q191" s="20" t="str"/>
      <x:c r="R191" s="20" t="str"/>
      <x:c r="S191" s="26" t="str"/>
      <x:c r="T191" s="20" t="str">
        <x:v>Ưu tiên tự động hóa</x:v>
      </x:c>
      <x:c r="U191" s="20" t="str">
        <x:v>Nguồn: 4. Product Backlog!F60, tiêu chí 2</x:v>
      </x:c>
      <x:c r="V191" s="20" t="str">
        <x:v>S5-07</x:v>
      </x:c>
      <x:c r="W191" s="20" t="str">
        <x:v>Backlog / AC</x:v>
      </x:c>
    </x:row>
    <x:row r="192" ht="92" customHeight="1">
      <x:c r="A192" s="20" t="str">
        <x:v>TC-S5-07-X01</x:v>
      </x:c>
      <x:c r="B192" s="20" t="n">
        <x:v>5</x:v>
      </x:c>
      <x:c r="C192" s="20" t="str">
        <x:v>EP-05</x:v>
      </x:c>
      <x:c r="D192" s="20" t="str">
        <x:v>S5-07</x:v>
      </x:c>
      <x:c r="E192" s="20" t="str">
        <x:v>QA-EXTRA</x:v>
      </x:c>
      <x:c r="F192" s="20" t="str">
        <x:v>Hồ sơ &amp; Pipeline</x:v>
      </x:c>
      <x:c r="G192" s="20" t="str">
        <x:v>Timeline ghi đúng thứ tự khi sự kiện gần đồng thời</x:v>
      </x:c>
      <x:c r="H192" s="20" t="str">
        <x:v>Boundary</x:v>
      </x:c>
      <x:c r="I192" s="20" t="str">
        <x:v>High</x:v>
      </x:c>
      <x:c r="J192" s="20" t="str">
        <x:v>Nhân viên tuyển dụng</x:v>
      </x:c>
      <x:c r="K192" s="20" t="str">
        <x:v>Có 1 vị trí được phân công, ứng viên giả lập thuộc nhiều giai đoạn.</x:v>
      </x:c>
      <x:c r="L192" s="20" t="str">
        <x:v>Nộp hồ sơ và gửi email trong cùng giây</x:v>
      </x:c>
      <x:c r="M192" s="20" t="str">
        <x:v>1. Tạo sự kiện cùng giây
2. Mở timeline
3. Reload danh sách</x:v>
      </x:c>
      <x:c r="N192" s="20" t="str">
        <x:v>Thứ tự ổn định theo timestamp và ID; không tạo bản ghi trùng khi tải lại</x:v>
      </x:c>
      <x:c r="O192" s="20" t="str"/>
      <x:c r="P192" s="20" t="str">
        <x:v>Chưa chạy</x:v>
      </x:c>
      <x:c r="Q192" s="20" t="str"/>
      <x:c r="R192" s="20" t="str"/>
      <x:c r="S192" s="26" t="str"/>
      <x:c r="T192" s="20" t="str">
        <x:v>Ưu tiên tự động hóa</x:v>
      </x:c>
      <x:c r="U192" s="20" t="str">
        <x:v>Kịch bản rủi ro/biên; nếu vượt yêu cầu backlog, xác nhận PO.</x:v>
      </x:c>
      <x:c r="V192" s="20" t="str">
        <x:v>S5-07</x:v>
      </x:c>
      <x:c r="W192" s="20" t="str">
        <x:v>Bổ sung QA</x:v>
      </x:c>
    </x:row>
    <x:row r="193" ht="92" customHeight="1">
      <x:c r="A193" s="20" t="str">
        <x:v>TC-S5-08-01</x:v>
      </x:c>
      <x:c r="B193" s="20" t="n">
        <x:v>5</x:v>
      </x:c>
      <x:c r="C193" s="20" t="str">
        <x:v>EP-05</x:v>
      </x:c>
      <x:c r="D193" s="20" t="str">
        <x:v>S5-08</x:v>
      </x:c>
      <x:c r="E193" s="20" t="str">
        <x:v>S5-08-AC01</x:v>
      </x:c>
      <x:c r="F193" s="20" t="str">
        <x:v>Hồ sơ &amp; Pipeline</x:v>
      </x:c>
      <x:c r="G193" s="20" t="str">
        <x:v>Nhập tay thông tin và tải CV cho ứng viên tìm được từ nguồn khác</x:v>
      </x:c>
      <x:c r="H193" s="20" t="str">
        <x:v>Functional</x:v>
      </x:c>
      <x:c r="I193" s="20" t="str">
        <x:v>High</x:v>
      </x:c>
      <x:c r="J193" s="20" t="str">
        <x:v>Nhân viên tuyển dụng</x:v>
      </x:c>
      <x:c r="K193" s="20" t="str">
        <x:v>Có 1 vị trí được phân công, ứng viên giả lập thuộc nhiều giai đoạn.</x:v>
      </x:c>
      <x:c r="L193" s="20" t="str">
        <x:v>candidate01@example.test / 0900000001; nhãn Python; 20 CV mẫu</x:v>
      </x:c>
      <x:c r="M193" s="20" t="str">
        <x:v>1. Chuẩn bị dữ liệu: Có 1 vị trí được phân công, ứng viên giả lập thuộc nhiều giai đoạn.
2. Đăng nhập bằng tài khoản vai trò 'Nhân viên tuyển dụng' được phép thao tác.
3. Mở chức năng 'thêm ứng viên thủ công vào một vị trí' trên môi trường staging.
4. Tạo dữ liệu đối chứng thuộc và không thuộc điều kiện; áp dụng bộ lọc/tìm kiếm/sắp xếp tương ứng.
5. Đối chiếu danh sách/kết quả tổng hợp với dữ liệu gốc.</x:v>
      </x:c>
      <x:c r="N193" s="20" t="str">
        <x:v>Nhập tay thông tin và tải CV cho ứng viên tìm được từ nguồn khác</x:v>
      </x:c>
      <x:c r="O193" s="20" t="str"/>
      <x:c r="P193" s="20" t="str">
        <x:v>Chưa chạy</x:v>
      </x:c>
      <x:c r="Q193" s="20" t="str"/>
      <x:c r="R193" s="20" t="str"/>
      <x:c r="S193" s="26" t="str"/>
      <x:c r="T193" s="20" t="str">
        <x:v>Ưu tiên tự động hóa</x:v>
      </x:c>
      <x:c r="U193" s="20" t="str">
        <x:v>Nguồn: 4. Product Backlog!F61, tiêu chí 1</x:v>
      </x:c>
      <x:c r="V193" s="20" t="str">
        <x:v>S5-08</x:v>
      </x:c>
      <x:c r="W193" s="20" t="str">
        <x:v>Backlog / AC</x:v>
      </x:c>
    </x:row>
    <x:row r="194" ht="92" customHeight="1">
      <x:c r="A194" s="20" t="str">
        <x:v>TC-S5-08-02</x:v>
      </x:c>
      <x:c r="B194" s="20" t="n">
        <x:v>5</x:v>
      </x:c>
      <x:c r="C194" s="20" t="str">
        <x:v>EP-05</x:v>
      </x:c>
      <x:c r="D194" s="20" t="str">
        <x:v>S5-08</x:v>
      </x:c>
      <x:c r="E194" s="20" t="str">
        <x:v>S5-08-AC02</x:v>
      </x:c>
      <x:c r="F194" s="20" t="str">
        <x:v>Hồ sơ &amp; Pipeline</x:v>
      </x:c>
      <x:c r="G194" s="20" t="str">
        <x:v>Ứng viên thêm tay vẫn đi qua đúng luồng phát hiện trùng</x:v>
      </x:c>
      <x:c r="H194" s="20" t="str">
        <x:v>Functional</x:v>
      </x:c>
      <x:c r="I194" s="20" t="str">
        <x:v>High</x:v>
      </x:c>
      <x:c r="J194" s="20" t="str">
        <x:v>Nhân viên tuyển dụng</x:v>
      </x:c>
      <x:c r="K194" s="20" t="str">
        <x:v>Có 1 vị trí được phân công, ứng viên giả lập thuộc nhiều giai đoạn.</x:v>
      </x:c>
      <x:c r="L194" s="20" t="str">
        <x:v>candidate01@example.test / 0900000001; nhãn Python; 20 CV mẫu</x:v>
      </x:c>
      <x:c r="M194" s="20" t="str">
        <x:v>1. Chuẩn bị dữ liệu: Có 1 vị trí được phân công, ứng viên giả lập thuộc nhiều giai đoạn.
2. Đăng nhập bằng tài khoản vai trò 'Nhân viên tuyển dụng' được phép thao tác.
3. Mở chức năng 'thêm ứng viên thủ công vào một vị trí' trên môi trường staging.
4. Tạo hai bản ghi/khung giờ có cùng khoá nghiệp vụ (email, số điện thoại, vị trí hoặc người/phòng trùng lịch).
5. Thực hiện lưu/gộp/đặt lịch và kiểm tra cảnh báo, dữ liệu sau thao tác.</x:v>
      </x:c>
      <x:c r="N194" s="20" t="str">
        <x:v>Ứng viên thêm tay vẫn đi qua đúng luồng phát hiện trùng</x:v>
      </x:c>
      <x:c r="O194" s="20" t="str"/>
      <x:c r="P194" s="20" t="str">
        <x:v>Chưa chạy</x:v>
      </x:c>
      <x:c r="Q194" s="20" t="str"/>
      <x:c r="R194" s="20" t="str"/>
      <x:c r="S194" s="26" t="str"/>
      <x:c r="T194" s="20" t="str">
        <x:v>Ưu tiên tự động hóa</x:v>
      </x:c>
      <x:c r="U194" s="20" t="str">
        <x:v>Nguồn: 4. Product Backlog!F61, tiêu chí 2</x:v>
      </x:c>
      <x:c r="V194" s="20" t="str">
        <x:v>S5-08</x:v>
      </x:c>
      <x:c r="W194" s="20" t="str">
        <x:v>Backlog / AC</x:v>
      </x:c>
    </x:row>
    <x:row r="195" ht="92" customHeight="1">
      <x:c r="A195" s="20" t="str">
        <x:v>TC-S5-08-X01</x:v>
      </x:c>
      <x:c r="B195" s="20" t="n">
        <x:v>5</x:v>
      </x:c>
      <x:c r="C195" s="20" t="str">
        <x:v>EP-05</x:v>
      </x:c>
      <x:c r="D195" s="20" t="str">
        <x:v>S5-08</x:v>
      </x:c>
      <x:c r="E195" s="20" t="str">
        <x:v>QA-EXTRA</x:v>
      </x:c>
      <x:c r="F195" s="20" t="str">
        <x:v>Hồ sơ &amp; Pipeline</x:v>
      </x:c>
      <x:c r="G195" s="20" t="str">
        <x:v>Thêm tay ứng viên có email trùng hồ sơ đã có</x:v>
      </x:c>
      <x:c r="H195" s="20" t="str">
        <x:v>Negative</x:v>
      </x:c>
      <x:c r="I195" s="20" t="str">
        <x:v>High</x:v>
      </x:c>
      <x:c r="J195" s="20" t="str">
        <x:v>Nhân viên tuyển dụng</x:v>
      </x:c>
      <x:c r="K195" s="20" t="str">
        <x:v>Có 1 vị trí được phân công, ứng viên giả lập thuộc nhiều giai đoạn.</x:v>
      </x:c>
      <x:c r="L195" s="20" t="str">
        <x:v>candidate01@example.test đã tồn tại</x:v>
      </x:c>
      <x:c r="M195" s="20" t="str">
        <x:v>1. Recruiter thêm tay cùng email/số điện thoại
2. Tải CV thứ hai
3. Kiểm tra cảnh báo trùng</x:v>
      </x:c>
      <x:c r="N195" s="20" t="str">
        <x:v>Hiển thị luồng phát hiện trùng trước khi tạo người mới; không mất CV/tài liệu gốc</x:v>
      </x:c>
      <x:c r="O195" s="20" t="str"/>
      <x:c r="P195" s="20" t="str">
        <x:v>Chưa chạy</x:v>
      </x:c>
      <x:c r="Q195" s="20" t="str"/>
      <x:c r="R195" s="20" t="str"/>
      <x:c r="S195" s="26" t="str"/>
      <x:c r="T195" s="20" t="str">
        <x:v>Ưu tiên tự động hóa</x:v>
      </x:c>
      <x:c r="U195" s="20" t="str">
        <x:v>Kịch bản rủi ro/biên; nếu vượt yêu cầu backlog, xác nhận PO.</x:v>
      </x:c>
      <x:c r="V195" s="20" t="str">
        <x:v>S5-08</x:v>
      </x:c>
      <x:c r="W195" s="20" t="str">
        <x:v>Bổ sung QA</x:v>
      </x:c>
    </x:row>
    <x:row r="196" ht="92" customHeight="1">
      <x:c r="A196" s="20" t="str">
        <x:v>TC-S5-09-01</x:v>
      </x:c>
      <x:c r="B196" s="20" t="n">
        <x:v>5</x:v>
      </x:c>
      <x:c r="C196" s="20" t="str">
        <x:v>EP-05</x:v>
      </x:c>
      <x:c r="D196" s="20" t="str">
        <x:v>S5-09</x:v>
      </x:c>
      <x:c r="E196" s="20" t="str">
        <x:v>S5-09-AC01</x:v>
      </x:c>
      <x:c r="F196" s="20" t="str">
        <x:v>Hồ sơ &amp; Pipeline</x:v>
      </x:c>
      <x:c r="G196" s="20" t="str">
        <x:v>Khai báo tiêu chí bắt buộc cho vị trí: số năm kinh nghiệm, bằng cấp, kỹ năng</x:v>
      </x:c>
      <x:c r="H196" s="20" t="str">
        <x:v>Functional</x:v>
      </x:c>
      <x:c r="I196" s="20" t="str">
        <x:v>Medium</x:v>
      </x:c>
      <x:c r="J196" s="20" t="str">
        <x:v>Nhân viên tuyển dụng</x:v>
      </x:c>
      <x:c r="K196" s="20" t="str">
        <x:v>Có 1 vị trí được phân công, ứng viên giả lập thuộc nhiều giai đoạn.</x:v>
      </x:c>
      <x:c r="L196" s="20" t="str">
        <x:v>candidate01@example.test / 0900000001; nhãn Python; 20 CV mẫu</x:v>
      </x:c>
      <x:c r="M196" s="20" t="str">
        <x:v>1. Chuẩn bị dữ liệu: Có 1 vị trí được phân công, ứng viên giả lập thuộc nhiều giai đoạn.
2. Đăng nhập bằng tài khoản vai trò 'Nhân viên tuyển dụng' được phép thao tác.
3. Mở chức năng 'có hồ sơ mới được chấm điểm sàng lọc theo tiêu chí bắt buộc của vị trí' trên môi trường staging.
4. Thử một bộ dữ liệu hợp lệ và một bộ thiếu/sai điều kiện bắt buộc; thực hiện Lưu/Gửi duyệt.
5. So sánh xác thực UI/API và dữ liệu được ghi.</x:v>
      </x:c>
      <x:c r="N196" s="20" t="str">
        <x:v>Khai báo tiêu chí bắt buộc cho vị trí: số năm kinh nghiệm, bằng cấp, kỹ năng</x:v>
      </x:c>
      <x:c r="O196" s="20" t="str"/>
      <x:c r="P196" s="20" t="str">
        <x:v>Chưa chạy</x:v>
      </x:c>
      <x:c r="Q196" s="20" t="str"/>
      <x:c r="R196" s="20" t="str"/>
      <x:c r="S196" s="26" t="str"/>
      <x:c r="T196" s="20" t="str">
        <x:v>Cân nhắc</x:v>
      </x:c>
      <x:c r="U196" s="20" t="str">
        <x:v>Nguồn: 4. Product Backlog!F62, tiêu chí 1</x:v>
      </x:c>
      <x:c r="V196" s="20" t="str">
        <x:v>S5-09</x:v>
      </x:c>
      <x:c r="W196" s="20" t="str">
        <x:v>Backlog / AC</x:v>
      </x:c>
    </x:row>
    <x:row r="197" ht="92" customHeight="1">
      <x:c r="A197" s="20" t="str">
        <x:v>TC-S5-09-02</x:v>
      </x:c>
      <x:c r="B197" s="20" t="n">
        <x:v>5</x:v>
      </x:c>
      <x:c r="C197" s="20" t="str">
        <x:v>EP-05</x:v>
      </x:c>
      <x:c r="D197" s="20" t="str">
        <x:v>S5-09</x:v>
      </x:c>
      <x:c r="E197" s="20" t="str">
        <x:v>S5-09-AC02</x:v>
      </x:c>
      <x:c r="F197" s="20" t="str">
        <x:v>Hồ sơ &amp; Pipeline</x:v>
      </x:c>
      <x:c r="G197" s="20" t="str">
        <x:v>Hồ sơ mới được gắn điểm phù hợp và cờ Đạt hoặc Không đạt tiêu chí bắt buộc</x:v>
      </x:c>
      <x:c r="H197" s="20" t="str">
        <x:v>Functional</x:v>
      </x:c>
      <x:c r="I197" s="20" t="str">
        <x:v>Medium</x:v>
      </x:c>
      <x:c r="J197" s="20" t="str">
        <x:v>Nhân viên tuyển dụng</x:v>
      </x:c>
      <x:c r="K197" s="20" t="str">
        <x:v>Có 1 vị trí được phân công, ứng viên giả lập thuộc nhiều giai đoạn.</x:v>
      </x:c>
      <x:c r="L197" s="20" t="str">
        <x:v>candidate01@example.test / 0900000001; nhãn Python; 20 CV mẫu</x:v>
      </x:c>
      <x:c r="M197" s="20" t="str">
        <x:v>1. Chuẩn bị dữ liệu: Có 1 vị trí được phân công, ứng viên giả lập thuộc nhiều giai đoạn.
2. Đăng nhập bằng tài khoản vai trò 'Nhân viên tuyển dụng' được phép thao tác.
3. Mở chức năng 'có hồ sơ mới được chấm điểm sàng lọc theo tiêu chí bắt buộc của vị trí' trên môi trường staging.
4. Thử một bộ dữ liệu hợp lệ và một bộ thiếu/sai điều kiện bắt buộc; thực hiện Lưu/Gửi duyệt.
5. So sánh xác thực UI/API và dữ liệu được ghi.</x:v>
      </x:c>
      <x:c r="N197" s="20" t="str">
        <x:v>Hồ sơ mới được gắn điểm phù hợp và cờ Đạt hoặc Không đạt tiêu chí bắt buộc</x:v>
      </x:c>
      <x:c r="O197" s="20" t="str"/>
      <x:c r="P197" s="20" t="str">
        <x:v>Chưa chạy</x:v>
      </x:c>
      <x:c r="Q197" s="20" t="str"/>
      <x:c r="R197" s="20" t="str"/>
      <x:c r="S197" s="26" t="str"/>
      <x:c r="T197" s="20" t="str">
        <x:v>Cân nhắc</x:v>
      </x:c>
      <x:c r="U197" s="20" t="str">
        <x:v>Nguồn: 4. Product Backlog!F62, tiêu chí 2</x:v>
      </x:c>
      <x:c r="V197" s="20" t="str">
        <x:v>S5-09</x:v>
      </x:c>
      <x:c r="W197" s="20" t="str">
        <x:v>Backlog / AC</x:v>
      </x:c>
    </x:row>
    <x:row r="198" ht="92" customHeight="1">
      <x:c r="A198" s="20" t="str">
        <x:v>TC-S5-09-03</x:v>
      </x:c>
      <x:c r="B198" s="20" t="n">
        <x:v>5</x:v>
      </x:c>
      <x:c r="C198" s="20" t="str">
        <x:v>EP-05</x:v>
      </x:c>
      <x:c r="D198" s="20" t="str">
        <x:v>S5-09</x:v>
      </x:c>
      <x:c r="E198" s="20" t="str">
        <x:v>S5-09-AC03</x:v>
      </x:c>
      <x:c r="F198" s="20" t="str">
        <x:v>Hồ sơ &amp; Pipeline</x:v>
      </x:c>
      <x:c r="G198" s="20" t="str">
        <x:v>Điểm chỉ để gợi ý sắp xếp, không tự động loại ứng viên</x:v>
      </x:c>
      <x:c r="H198" s="20" t="str">
        <x:v>Negative / RBAC</x:v>
      </x:c>
      <x:c r="I198" s="20" t="str">
        <x:v>Medium</x:v>
      </x:c>
      <x:c r="J198" s="20" t="str">
        <x:v>Nhân viên tuyển dụng</x:v>
      </x:c>
      <x:c r="K198" s="20" t="str">
        <x:v>Có 1 vị trí được phân công, ứng viên giả lập thuộc nhiều giai đoạn.</x:v>
      </x:c>
      <x:c r="L198" s="20" t="str">
        <x:v>candidate01@example.test / 0900000001; nhãn Python; 20 CV mẫu</x:v>
      </x:c>
      <x:c r="M198" s="20" t="str">
        <x:v>1. Chuẩn bị dữ liệu: Có 1 vị trí được phân công, ứng viên giả lập thuộc nhiều giai đoạn.
2. Đăng nhập bằng tài khoản vai trò 'Nhân viên tuyển dụng' được phép thao tác.
3. Mở chức năng 'có hồ sơ mới được chấm điểm sàng lọc theo tiêu chí bắt buộc của vị trí'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198" s="20" t="str">
        <x:v>Điểm chỉ để gợi ý sắp xếp, không tự động loại ứng viên</x:v>
      </x:c>
      <x:c r="O198" s="20" t="str"/>
      <x:c r="P198" s="20" t="str">
        <x:v>Chưa chạy</x:v>
      </x:c>
      <x:c r="Q198" s="20" t="str"/>
      <x:c r="R198" s="20" t="str"/>
      <x:c r="S198" s="26" t="str"/>
      <x:c r="T198" s="20" t="str">
        <x:v>Cân nhắc</x:v>
      </x:c>
      <x:c r="U198" s="20" t="str">
        <x:v>Nguồn: 4. Product Backlog!F62, tiêu chí 3</x:v>
      </x:c>
      <x:c r="V198" s="20" t="str">
        <x:v>S5-09</x:v>
      </x:c>
      <x:c r="W198" s="20" t="str">
        <x:v>Backlog / AC</x:v>
      </x:c>
    </x:row>
    <x:row r="199" ht="92" customHeight="1">
      <x:c r="A199" s="20" t="str">
        <x:v>TC-S5-09-X01</x:v>
      </x:c>
      <x:c r="B199" s="20" t="n">
        <x:v>5</x:v>
      </x:c>
      <x:c r="C199" s="20" t="str">
        <x:v>EP-05</x:v>
      </x:c>
      <x:c r="D199" s="20" t="str">
        <x:v>S5-09</x:v>
      </x:c>
      <x:c r="E199" s="20" t="str">
        <x:v>QA-EXTRA</x:v>
      </x:c>
      <x:c r="F199" s="20" t="str">
        <x:v>Hồ sơ &amp; Pipeline</x:v>
      </x:c>
      <x:c r="G199" s="20" t="str">
        <x:v>Điểm sàng lọc không tự động loại ứng viên</x:v>
      </x:c>
      <x:c r="H199" s="20" t="str">
        <x:v>Negative</x:v>
      </x:c>
      <x:c r="I199" s="20" t="str">
        <x:v>Medium</x:v>
      </x:c>
      <x:c r="J199" s="20" t="str">
        <x:v>Nhân viên tuyển dụng</x:v>
      </x:c>
      <x:c r="K199" s="20" t="str">
        <x:v>Có 1 vị trí được phân công, ứng viên giả lập thuộc nhiều giai đoạn.</x:v>
      </x:c>
      <x:c r="L199" s="20" t="str">
        <x:v>CV không đạt tiêu chí số năm kinh nghiệm</x:v>
      </x:c>
      <x:c r="M199" s="20" t="str">
        <x:v>1. Khai báo tiêu chí
2. Thêm hồ sơ không đạt
3. Tính điểm
4. Mở pipeline</x:v>
      </x:c>
      <x:c r="N199" s="20" t="str">
        <x:v>Gắn cờ Không đạt nhưng ứng viên vẫn trong pipeline; chỉ người có quyền mới quyết định loại</x:v>
      </x:c>
      <x:c r="O199" s="20" t="str"/>
      <x:c r="P199" s="20" t="str">
        <x:v>Chưa chạy</x:v>
      </x:c>
      <x:c r="Q199" s="20" t="str"/>
      <x:c r="R199" s="20" t="str"/>
      <x:c r="S199" s="26" t="str"/>
      <x:c r="T199" s="20" t="str">
        <x:v>Cân nhắc</x:v>
      </x:c>
      <x:c r="U199" s="20" t="str">
        <x:v>Kịch bản rủi ro/biên; nếu vượt yêu cầu backlog, xác nhận PO.</x:v>
      </x:c>
      <x:c r="V199" s="20" t="str">
        <x:v>S5-09</x:v>
      </x:c>
      <x:c r="W199" s="20" t="str">
        <x:v>Bổ sung QA</x:v>
      </x:c>
    </x:row>
    <x:row r="200" ht="92" customHeight="1">
      <x:c r="A200" s="20" t="str">
        <x:v>TC-S5-10-01</x:v>
      </x:c>
      <x:c r="B200" s="20" t="n">
        <x:v>5</x:v>
      </x:c>
      <x:c r="C200" s="20" t="str">
        <x:v>EP-08</x:v>
      </x:c>
      <x:c r="D200" s="20" t="str">
        <x:v>S5-10</x:v>
      </x:c>
      <x:c r="E200" s="20" t="str">
        <x:v>S5-10-AC01</x:v>
      </x:c>
      <x:c r="F200" s="20" t="str">
        <x:v>Thông báo &amp; Email</x:v>
      </x:c>
      <x:c r="G200" s="20" t="str">
        <x:v>Cấu hình ngưỡng SLA cho từng giai đoạn, ví dụ hồ sơ mới phải sàng lọc trong 3 ngày</x:v>
      </x:c>
      <x:c r="H200" s="20" t="str">
        <x:v>Functional</x:v>
      </x:c>
      <x:c r="I200" s="20" t="str">
        <x:v>Medium</x:v>
      </x:c>
      <x:c r="J200" s="20" t="str">
        <x:v>Nhân viên tuyển dụng</x:v>
      </x:c>
      <x:c r="K200" s="20" t="str">
        <x:v>Có 1 vị trí được phân công, ứng viên giả lập thuộc nhiều giai đoạn.</x:v>
      </x:c>
      <x:c r="L200" s="20" t="str">
        <x:v>candidate01@example.test / 0900000001; nhãn Python; 20 CV mẫu</x:v>
      </x:c>
      <x:c r="M200" s="20" t="str">
        <x:v>1. Chuẩn bị dữ liệu: Có 1 vị trí được phân công, ứng viên giả lập thuộc nhiều giai đoạn.
2. Đăng nhập bằng tài khoản vai trò 'Nhân viên tuyển dụng' được phép thao tác.
3. Mở chức năng 'được nhắc khi công việc quá hạn SLA' trên môi trường staging.
4. Tạo dữ liệu đối chứng thuộc và không thuộc điều kiện; áp dụng bộ lọc/tìm kiếm/sắp xếp tương ứng.
5. Đối chiếu danh sách/kết quả tổng hợp với dữ liệu gốc.</x:v>
      </x:c>
      <x:c r="N200" s="20" t="str">
        <x:v>Cấu hình ngưỡng SLA cho từng giai đoạn, ví dụ hồ sơ mới phải sàng lọc trong 3 ngày</x:v>
      </x:c>
      <x:c r="O200" s="20" t="str"/>
      <x:c r="P200" s="20" t="str">
        <x:v>Chưa chạy</x:v>
      </x:c>
      <x:c r="Q200" s="20" t="str"/>
      <x:c r="R200" s="20" t="str"/>
      <x:c r="S200" s="26" t="str"/>
      <x:c r="T200" s="20" t="str">
        <x:v>Cân nhắc</x:v>
      </x:c>
      <x:c r="U200" s="20" t="str">
        <x:v>Nguồn: 4. Product Backlog!F63, tiêu chí 1</x:v>
      </x:c>
      <x:c r="V200" s="20" t="str">
        <x:v>S5-10</x:v>
      </x:c>
      <x:c r="W200" s="20" t="str">
        <x:v>Backlog / AC</x:v>
      </x:c>
    </x:row>
    <x:row r="201" ht="92" customHeight="1">
      <x:c r="A201" s="20" t="str">
        <x:v>TC-S5-10-02</x:v>
      </x:c>
      <x:c r="B201" s="20" t="n">
        <x:v>5</x:v>
      </x:c>
      <x:c r="C201" s="20" t="str">
        <x:v>EP-08</x:v>
      </x:c>
      <x:c r="D201" s="20" t="str">
        <x:v>S5-10</x:v>
      </x:c>
      <x:c r="E201" s="20" t="str">
        <x:v>S5-10-AC02</x:v>
      </x:c>
      <x:c r="F201" s="20" t="str">
        <x:v>Thông báo &amp; Email</x:v>
      </x:c>
      <x:c r="G201" s="20" t="str">
        <x:v>Quá hạn thì hồ sơ được gắn cờ và recruiter nhận nhắc việc</x:v>
      </x:c>
      <x:c r="H201" s="20" t="str">
        <x:v>Boundary</x:v>
      </x:c>
      <x:c r="I201" s="20" t="str">
        <x:v>Medium</x:v>
      </x:c>
      <x:c r="J201" s="20" t="str">
        <x:v>Nhân viên tuyển dụng</x:v>
      </x:c>
      <x:c r="K201" s="20" t="str">
        <x:v>Có 1 vị trí được phân công, ứng viên giả lập thuộc nhiều giai đoạn.</x:v>
      </x:c>
      <x:c r="L201" s="20" t="str">
        <x:v>candidate01@example.test / 0900000001; nhãn Python; 20 CV mẫu</x:v>
      </x:c>
      <x:c r="M201" s="20" t="str">
        <x:v>1. Chuẩn bị dữ liệu: Có 1 vị trí được phân công, ứng viên giả lập thuộc nhiều giai đoạn.
2. Đăng nhập bằng tài khoản vai trò 'Nhân viên tuyển dụng' được phép thao tác.
3. Mở chức năng 'được nhắc khi công việc quá hạn SLA' trên môi trường staging.
4. Seed hồ sơ ở Hồ sơ mới quá 3 ngày
5. chạy daily SLA
6. xem badge quá hạn và chuông recruiter.
7. Ghi kết quả thực tế và đối chiếu tiêu chí S5-10-AC02.</x:v>
      </x:c>
      <x:c r="N201" s="20" t="str">
        <x:v>Quá hạn thì hồ sơ được gắn cờ và recruiter nhận nhắc việc</x:v>
      </x:c>
      <x:c r="O201" s="20" t="str"/>
      <x:c r="P201" s="20" t="str">
        <x:v>Chưa chạy</x:v>
      </x:c>
      <x:c r="Q201" s="20" t="str"/>
      <x:c r="R201" s="20" t="str"/>
      <x:c r="S201" s="26" t="str"/>
      <x:c r="T201" s="20" t="str">
        <x:v>Cân nhắc</x:v>
      </x:c>
      <x:c r="U201" s="20" t="str">
        <x:v>Nguồn: 4. Product Backlog!F63, tiêu chí 2</x:v>
      </x:c>
      <x:c r="V201" s="20" t="str">
        <x:v>S5-10</x:v>
      </x:c>
      <x:c r="W201" s="20" t="str">
        <x:v>Backlog / AC</x:v>
      </x:c>
    </x:row>
    <x:row r="202" ht="92" customHeight="1">
      <x:c r="A202" s="20" t="str">
        <x:v>TC-S5-10-03</x:v>
      </x:c>
      <x:c r="B202" s="20" t="n">
        <x:v>5</x:v>
      </x:c>
      <x:c r="C202" s="20" t="str">
        <x:v>EP-08</x:v>
      </x:c>
      <x:c r="D202" s="20" t="str">
        <x:v>S5-10</x:v>
      </x:c>
      <x:c r="E202" s="20" t="str">
        <x:v>S5-10-AC03</x:v>
      </x:c>
      <x:c r="F202" s="20" t="str">
        <x:v>Thông báo &amp; Email</x:v>
      </x:c>
      <x:c r="G202" s="20" t="str">
        <x:v>Tác vụ định kỳ chạy mỗi ngày một lần, không nhắc trùng trong cùng ngày</x:v>
      </x:c>
      <x:c r="H202" s="20" t="str">
        <x:v>Integration</x:v>
      </x:c>
      <x:c r="I202" s="20" t="str">
        <x:v>Medium</x:v>
      </x:c>
      <x:c r="J202" s="20" t="str">
        <x:v>Nhân viên tuyển dụng</x:v>
      </x:c>
      <x:c r="K202" s="20" t="str">
        <x:v>Có 1 vị trí được phân công, ứng viên giả lập thuộc nhiều giai đoạn.</x:v>
      </x:c>
      <x:c r="L202" s="20" t="str">
        <x:v>candidate01@example.test / 0900000001; nhãn Python; 20 CV mẫu</x:v>
      </x:c>
      <x:c r="M202" s="20" t="str">
        <x:v>1. Chuẩn bị dữ liệu: Có 1 vị trí được phân công, ứng viên giả lập thuộc nhiều giai đoạn.
2. Đăng nhập bằng tài khoản vai trò 'Nhân viên tuyển dụng' được phép thao tác.
3. Mở chức năng 'được nhắc khi công việc quá hạn SLA' trên môi trường staging.
4. Tạo hai bản ghi/khung giờ có cùng khoá nghiệp vụ (email, số điện thoại, vị trí hoặc người/phòng trùng lịch).
5. Thực hiện lưu/gộp/đặt lịch và kiểm tra cảnh báo, dữ liệu sau thao tác.</x:v>
      </x:c>
      <x:c r="N202" s="20" t="str">
        <x:v>Tác vụ định kỳ chạy mỗi ngày một lần, không nhắc trùng trong cùng ngày</x:v>
      </x:c>
      <x:c r="O202" s="20" t="str"/>
      <x:c r="P202" s="20" t="str">
        <x:v>Chưa chạy</x:v>
      </x:c>
      <x:c r="Q202" s="20" t="str"/>
      <x:c r="R202" s="20" t="str"/>
      <x:c r="S202" s="26" t="str"/>
      <x:c r="T202" s="20" t="str">
        <x:v>Cân nhắc</x:v>
      </x:c>
      <x:c r="U202" s="20" t="str">
        <x:v>Nguồn: 4. Product Backlog!F63, tiêu chí 3</x:v>
      </x:c>
      <x:c r="V202" s="20" t="str">
        <x:v>S5-10</x:v>
      </x:c>
      <x:c r="W202" s="20" t="str">
        <x:v>Backlog / AC</x:v>
      </x:c>
    </x:row>
    <x:row r="203" ht="92" customHeight="1">
      <x:c r="A203" s="20" t="str">
        <x:v>TC-S5-10-X01</x:v>
      </x:c>
      <x:c r="B203" s="20" t="n">
        <x:v>5</x:v>
      </x:c>
      <x:c r="C203" s="20" t="str">
        <x:v>EP-08</x:v>
      </x:c>
      <x:c r="D203" s="20" t="str">
        <x:v>S5-10</x:v>
      </x:c>
      <x:c r="E203" s="20" t="str">
        <x:v>QA-EXTRA</x:v>
      </x:c>
      <x:c r="F203" s="20" t="str">
        <x:v>Thông báo &amp; Email</x:v>
      </x:c>
      <x:c r="G203" s="20" t="str">
        <x:v>SLA job chạy lại cùng ngày không gửi nhắc trùng</x:v>
      </x:c>
      <x:c r="H203" s="20" t="str">
        <x:v>Integration</x:v>
      </x:c>
      <x:c r="I203" s="20" t="str">
        <x:v>Medium</x:v>
      </x:c>
      <x:c r="J203" s="20" t="str">
        <x:v>Nhân viên tuyển dụng</x:v>
      </x:c>
      <x:c r="K203" s="20" t="str">
        <x:v>Có 1 vị trí được phân công, ứng viên giả lập thuộc nhiều giai đoạn.</x:v>
      </x:c>
      <x:c r="L203" s="20" t="str">
        <x:v>Ứng viên mới quá SLA 3 ngày</x:v>
      </x:c>
      <x:c r="M203" s="20" t="str">
        <x:v>1. Cho hồ sơ quá hạn
2. Chạy job SLA
3. Chạy lại cùng ngày
4. Đếm thông báo</x:v>
      </x:c>
      <x:c r="N203" s="20" t="str">
        <x:v>Chỉ một thông báo tương ứng hồ sơ/cấp/ngày; không spam recruiter</x:v>
      </x:c>
      <x:c r="O203" s="20" t="str"/>
      <x:c r="P203" s="20" t="str">
        <x:v>Chưa chạy</x:v>
      </x:c>
      <x:c r="Q203" s="20" t="str"/>
      <x:c r="R203" s="20" t="str"/>
      <x:c r="S203" s="26" t="str"/>
      <x:c r="T203" s="20" t="str">
        <x:v>Cân nhắc</x:v>
      </x:c>
      <x:c r="U203" s="20" t="str">
        <x:v>Kịch bản rủi ro/biên; nếu vượt yêu cầu backlog, xác nhận PO.</x:v>
      </x:c>
      <x:c r="V203" s="20" t="str">
        <x:v>S5-10</x:v>
      </x:c>
      <x:c r="W203" s="20" t="str">
        <x:v>Bổ sung QA</x:v>
      </x:c>
    </x:row>
    <x:row r="204" ht="92" customHeight="1">
      <x:c r="A204" s="20" t="str">
        <x:v>TC-S6-01-01</x:v>
      </x:c>
      <x:c r="B204" s="20" t="n">
        <x:v>6</x:v>
      </x:c>
      <x:c r="C204" s="20" t="str">
        <x:v>EP-05</x:v>
      </x:c>
      <x:c r="D204" s="20" t="str">
        <x:v>S6-01</x:v>
      </x:c>
      <x:c r="E204" s="20" t="str">
        <x:v>S6-01-AC01</x:v>
      </x:c>
      <x:c r="F204" s="20" t="str">
        <x:v>Hồ sơ &amp; Pipeline</x:v>
      </x:c>
      <x:c r="G204" s="20" t="str">
        <x:v>Xuất theo bộ lọc đang áp dụng</x:v>
      </x:c>
      <x:c r="H204" s="20" t="str">
        <x:v>Functional</x:v>
      </x:c>
      <x:c r="I204" s="20" t="str">
        <x:v>Medium</x:v>
      </x:c>
      <x:c r="J204" s="20" t="str">
        <x:v>Nhân viên tuyển dụng</x:v>
      </x:c>
      <x:c r="K204" s="20" t="str">
        <x:v>Có vị trí/các ứng viên, người phỏng vấn, phòng họp và khung năng lực.</x:v>
      </x:c>
      <x:c r="L204" s="20" t="str">
        <x:v>2026-10-05 09:00–10:00 ICT; Phòng họp A; interviewee 001</x:v>
      </x:c>
      <x:c r="M204" s="20" t="str">
        <x:v>1. Chuẩn bị dữ liệu: Có vị trí/các ứng viên, người phỏng vấn, phòng họp và khung năng lực.
2. Đăng nhập bằng tài khoản vai trò 'Nhân viên tuyển dụng' được phép thao tác.
3. Mở chức năng 'xuất danh sách ứng viên ra tệp Excel' trên môi trường staging.
4. Tạo dữ liệu đối chứng thuộc và không thuộc điều kiện; áp dụng bộ lọc/tìm kiếm/sắp xếp tương ứng.
5. Đối chiếu danh sách/kết quả tổng hợp với dữ liệu gốc.</x:v>
      </x:c>
      <x:c r="N204" s="20" t="str">
        <x:v>Xuất theo bộ lọc đang áp dụng</x:v>
      </x:c>
      <x:c r="O204" s="20" t="str"/>
      <x:c r="P204" s="20" t="str">
        <x:v>Chưa chạy</x:v>
      </x:c>
      <x:c r="Q204" s="20" t="str"/>
      <x:c r="R204" s="20" t="str"/>
      <x:c r="S204" s="26" t="str"/>
      <x:c r="T204" s="20" t="str">
        <x:v>Cân nhắc</x:v>
      </x:c>
      <x:c r="U204" s="20" t="str">
        <x:v>Nguồn: 4. Product Backlog!F66, tiêu chí 1</x:v>
      </x:c>
      <x:c r="V204" s="20" t="str">
        <x:v>S6-01</x:v>
      </x:c>
      <x:c r="W204" s="20" t="str">
        <x:v>Backlog / AC</x:v>
      </x:c>
    </x:row>
    <x:row r="205" ht="92" customHeight="1">
      <x:c r="A205" s="20" t="str">
        <x:v>TC-S6-01-02</x:v>
      </x:c>
      <x:c r="B205" s="20" t="n">
        <x:v>6</x:v>
      </x:c>
      <x:c r="C205" s="20" t="str">
        <x:v>EP-05</x:v>
      </x:c>
      <x:c r="D205" s="20" t="str">
        <x:v>S6-01</x:v>
      </x:c>
      <x:c r="E205" s="20" t="str">
        <x:v>S6-01-AC02</x:v>
      </x:c>
      <x:c r="F205" s="20" t="str">
        <x:v>Hồ sơ &amp; Pipeline</x:v>
      </x:c>
      <x:c r="G205" s="20" t="str">
        <x:v>Tệp không chứa ghi chú nội bộ nhạy cảm</x:v>
      </x:c>
      <x:c r="H205" s="20" t="str">
        <x:v>Functional</x:v>
      </x:c>
      <x:c r="I205" s="20" t="str">
        <x:v>Medium</x:v>
      </x:c>
      <x:c r="J205" s="20" t="str">
        <x:v>Nhân viên tuyển dụng</x:v>
      </x:c>
      <x:c r="K205" s="20" t="str">
        <x:v>Có vị trí/các ứng viên, người phỏng vấn, phòng họp và khung năng lực.</x:v>
      </x:c>
      <x:c r="L205" s="20" t="str">
        <x:v>2026-10-05 09:00–10:00 ICT; Phòng họp A; interviewee 001</x:v>
      </x:c>
      <x:c r="M205" s="20" t="str">
        <x:v>1. Chuẩn bị dữ liệu: Có vị trí/các ứng viên, người phỏng vấn, phòng họp và khung năng lực.
2. Đăng nhập bằng tài khoản vai trò 'Nhân viên tuyển dụng' được phép thao tác.
3. Mở chức năng 'xuất danh sách ứng viên ra tệp Excel' trên môi trường staging.
4. Tạo ghi chú nội bộ TEST-PRIVATE
5. export danh sách
6. đọc từng cột Excel và tìm chuỗi nhạy cảm.
7. Ghi kết quả thực tế và đối chiếu tiêu chí S6-01-AC02.</x:v>
      </x:c>
      <x:c r="N205" s="20" t="str">
        <x:v>Tệp không chứa ghi chú nội bộ nhạy cảm</x:v>
      </x:c>
      <x:c r="O205" s="20" t="str"/>
      <x:c r="P205" s="20" t="str">
        <x:v>Chưa chạy</x:v>
      </x:c>
      <x:c r="Q205" s="20" t="str"/>
      <x:c r="R205" s="20" t="str"/>
      <x:c r="S205" s="26" t="str"/>
      <x:c r="T205" s="20" t="str">
        <x:v>Cân nhắc</x:v>
      </x:c>
      <x:c r="U205" s="20" t="str">
        <x:v>Nguồn: 4. Product Backlog!F66, tiêu chí 2</x:v>
      </x:c>
      <x:c r="V205" s="20" t="str">
        <x:v>S6-01</x:v>
      </x:c>
      <x:c r="W205" s="20" t="str">
        <x:v>Backlog / AC</x:v>
      </x:c>
    </x:row>
    <x:row r="206" ht="92" customHeight="1">
      <x:c r="A206" s="20" t="str">
        <x:v>TC-S6-01-03</x:v>
      </x:c>
      <x:c r="B206" s="20" t="n">
        <x:v>6</x:v>
      </x:c>
      <x:c r="C206" s="20" t="str">
        <x:v>EP-05</x:v>
      </x:c>
      <x:c r="D206" s="20" t="str">
        <x:v>S6-01</x:v>
      </x:c>
      <x:c r="E206" s="20" t="str">
        <x:v>S6-01-AC03</x:v>
      </x:c>
      <x:c r="F206" s="20" t="str">
        <x:v>Hồ sơ &amp; Pipeline</x:v>
      </x:c>
      <x:c r="G206" s="20" t="str">
        <x:v>Tên tệp chứa mã vị trí và ngày xuất</x:v>
      </x:c>
      <x:c r="H206" s="20" t="str">
        <x:v>Functional</x:v>
      </x:c>
      <x:c r="I206" s="20" t="str">
        <x:v>Medium</x:v>
      </x:c>
      <x:c r="J206" s="20" t="str">
        <x:v>Nhân viên tuyển dụng</x:v>
      </x:c>
      <x:c r="K206" s="20" t="str">
        <x:v>Có vị trí/các ứng viên, người phỏng vấn, phòng họp và khung năng lực.</x:v>
      </x:c>
      <x:c r="L206" s="20" t="str">
        <x:v>2026-10-05 09:00–10:00 ICT; Phòng họp A; interviewee 001</x:v>
      </x:c>
      <x:c r="M206" s="20" t="str">
        <x:v>1. Chuẩn bị dữ liệu: Có vị trí/các ứng viên, người phỏng vấn, phòng họp và khung năng lực.
2. Đăng nhập bằng tài khoản vai trò 'Nhân viên tuyển dụng' được phép thao tác.
3. Mở chức năng 'xuất danh sách ứng viên ra tệp Excel' trên môi trường staging.
4. Lọc danh sách theo JOB-A
5. xuất tệp ngày 05/10/2026
6. kiểm tra tên chứa mã job và ngày xuất.
7. Ghi kết quả thực tế và đối chiếu tiêu chí S6-01-AC03.</x:v>
      </x:c>
      <x:c r="N206" s="20" t="str">
        <x:v>Tên tệp chứa mã vị trí và ngày xuất</x:v>
      </x:c>
      <x:c r="O206" s="20" t="str"/>
      <x:c r="P206" s="20" t="str">
        <x:v>Chưa chạy</x:v>
      </x:c>
      <x:c r="Q206" s="20" t="str"/>
      <x:c r="R206" s="20" t="str"/>
      <x:c r="S206" s="26" t="str"/>
      <x:c r="T206" s="20" t="str">
        <x:v>Cân nhắc</x:v>
      </x:c>
      <x:c r="U206" s="20" t="str">
        <x:v>Nguồn: 4. Product Backlog!F66, tiêu chí 3</x:v>
      </x:c>
      <x:c r="V206" s="20" t="str">
        <x:v>S6-01</x:v>
      </x:c>
      <x:c r="W206" s="20" t="str">
        <x:v>Backlog / AC</x:v>
      </x:c>
    </x:row>
    <x:row r="207" ht="92" customHeight="1">
      <x:c r="A207" s="20" t="str">
        <x:v>TC-S6-01-X01</x:v>
      </x:c>
      <x:c r="B207" s="20" t="n">
        <x:v>6</x:v>
      </x:c>
      <x:c r="C207" s="20" t="str">
        <x:v>EP-05</x:v>
      </x:c>
      <x:c r="D207" s="20" t="str">
        <x:v>S6-01</x:v>
      </x:c>
      <x:c r="E207" s="20" t="str">
        <x:v>QA-EXTRA</x:v>
      </x:c>
      <x:c r="F207" s="20" t="str">
        <x:v>Hồ sơ &amp; Pipeline</x:v>
      </x:c>
      <x:c r="G207" s="20" t="str">
        <x:v>Xuất Excel không chứa ghi chú riêng tư</x:v>
      </x:c>
      <x:c r="H207" s="20" t="str">
        <x:v>Security / Privacy</x:v>
      </x:c>
      <x:c r="I207" s="20" t="str">
        <x:v>Medium</x:v>
      </x:c>
      <x:c r="J207" s="20" t="str">
        <x:v>Nhân viên tuyển dụng</x:v>
      </x:c>
      <x:c r="K207" s="20" t="str">
        <x:v>Có vị trí/các ứng viên, người phỏng vấn, phòng họp và khung năng lực.</x:v>
      </x:c>
      <x:c r="L207" s="20" t="str">
        <x:v>Hồ sơ A ghi chú TEST-PRIVATE</x:v>
      </x:c>
      <x:c r="M207" s="20" t="str">
        <x:v>1. Lọc ứng viên theo vị trí
2. Xuất Excel
3. Tìm TEST-PRIVATE trong toàn bộ tệp</x:v>
      </x:c>
      <x:c r="N207" s="20" t="str">
        <x:v>Không có ghi chú nội bộ và dữ liệu ngoài phạm vi recruiter trong tệp xuất</x:v>
      </x:c>
      <x:c r="O207" s="20" t="str"/>
      <x:c r="P207" s="20" t="str">
        <x:v>Chưa chạy</x:v>
      </x:c>
      <x:c r="Q207" s="20" t="str"/>
      <x:c r="R207" s="20" t="str"/>
      <x:c r="S207" s="26" t="str"/>
      <x:c r="T207" s="20" t="str">
        <x:v>Cân nhắc</x:v>
      </x:c>
      <x:c r="U207" s="20" t="str">
        <x:v>Kịch bản rủi ro/biên; nếu vượt yêu cầu backlog, xác nhận PO.</x:v>
      </x:c>
      <x:c r="V207" s="20" t="str">
        <x:v>S6-01</x:v>
      </x:c>
      <x:c r="W207" s="20" t="str">
        <x:v>Bổ sung QA</x:v>
      </x:c>
    </x:row>
    <x:row r="208" ht="92" customHeight="1">
      <x:c r="A208" s="20" t="str">
        <x:v>TC-S6-02-01</x:v>
      </x:c>
      <x:c r="B208" s="20" t="n">
        <x:v>6</x:v>
      </x:c>
      <x:c r="C208" s="20" t="str">
        <x:v>EP-06</x:v>
      </x:c>
      <x:c r="D208" s="20" t="str">
        <x:v>S6-02</x:v>
      </x:c>
      <x:c r="E208" s="20" t="str">
        <x:v>S6-02-AC01</x:v>
      </x:c>
      <x:c r="F208" s="20" t="str">
        <x:v>Phỏng vấn &amp; Đánh giá</x:v>
      </x:c>
      <x:c r="G208" s="20" t="str">
        <x:v>Chọn vòng phỏng vấn, ngày giờ, thời lượng, hình thức (trực tiếp hoặc trực tuyến), phòng hoặc liên kết họp</x:v>
      </x:c>
      <x:c r="H208" s="20" t="str">
        <x:v>Functional</x:v>
      </x:c>
      <x:c r="I208" s="20" t="str">
        <x:v>High</x:v>
      </x:c>
      <x:c r="J208" s="20" t="str">
        <x:v>Nhân viên tuyển dụng</x:v>
      </x:c>
      <x:c r="K208" s="20" t="str">
        <x:v>Có vị trí/các ứng viên, người phỏng vấn, phòng họp và khung năng lực.</x:v>
      </x:c>
      <x:c r="L208" s="20" t="str">
        <x:v>2026-10-05 09:00–10:00 ICT; Phòng họp A; interviewee 001</x:v>
      </x:c>
      <x:c r="M208" s="20" t="str">
        <x:v>1. Chuẩn bị dữ liệu: Có vị trí/các ứng viên, người phỏng vấn, phòng họp và khung năng lực.
2. Đăng nhập bằng tài khoản vai trò 'Nhân viên tuyển dụng' được phép thao tác.
3. Mở chức năng 'đặt lịch phỏng vấn cho một ứng viên' trên môi trường staging.
4. Mở tạo lịch cho Candidate A
5. chọn vòng 1, 09:00 ICT, 60 phút, hình thức trực tiếp và phòng họp A
6. Lưu.
7. Ghi kết quả thực tế và đối chiếu tiêu chí S6-02-AC01.</x:v>
      </x:c>
      <x:c r="N208" s="20" t="str">
        <x:v>Chọn vòng phỏng vấn, ngày giờ, thời lượng, hình thức (trực tiếp hoặc trực tuyến), phòng hoặc liên kết họp</x:v>
      </x:c>
      <x:c r="O208" s="20" t="str"/>
      <x:c r="P208" s="20" t="str">
        <x:v>Chưa chạy</x:v>
      </x:c>
      <x:c r="Q208" s="20" t="str"/>
      <x:c r="R208" s="20" t="str"/>
      <x:c r="S208" s="26" t="str"/>
      <x:c r="T208" s="20" t="str">
        <x:v>Ưu tiên tự động hóa</x:v>
      </x:c>
      <x:c r="U208" s="20" t="str">
        <x:v>Nguồn: 4. Product Backlog!F67, tiêu chí 1</x:v>
      </x:c>
      <x:c r="V208" s="20" t="str">
        <x:v>S6-02</x:v>
      </x:c>
      <x:c r="W208" s="20" t="str">
        <x:v>Backlog / AC</x:v>
      </x:c>
    </x:row>
    <x:row r="209" ht="92" customHeight="1">
      <x:c r="A209" s="20" t="str">
        <x:v>TC-S6-02-02</x:v>
      </x:c>
      <x:c r="B209" s="20" t="n">
        <x:v>6</x:v>
      </x:c>
      <x:c r="C209" s="20" t="str">
        <x:v>EP-06</x:v>
      </x:c>
      <x:c r="D209" s="20" t="str">
        <x:v>S6-02</x:v>
      </x:c>
      <x:c r="E209" s="20" t="str">
        <x:v>S6-02-AC02</x:v>
      </x:c>
      <x:c r="F209" s="20" t="str">
        <x:v>Phỏng vấn &amp; Đánh giá</x:v>
      </x:c>
      <x:c r="G209" s="20" t="str">
        <x:v>Chọn một hoặc nhiều người phỏng vấn</x:v>
      </x:c>
      <x:c r="H209" s="20" t="str">
        <x:v>Functional</x:v>
      </x:c>
      <x:c r="I209" s="20" t="str">
        <x:v>High</x:v>
      </x:c>
      <x:c r="J209" s="20" t="str">
        <x:v>Nhân viên tuyển dụng</x:v>
      </x:c>
      <x:c r="K209" s="20" t="str">
        <x:v>Có vị trí/các ứng viên, người phỏng vấn, phòng họp và khung năng lực.</x:v>
      </x:c>
      <x:c r="L209" s="20" t="str">
        <x:v>2026-10-05 09:00–10:00 ICT; Phòng họp A; interviewee 001</x:v>
      </x:c>
      <x:c r="M209" s="20" t="str">
        <x:v>1. Chuẩn bị dữ liệu: Có vị trí/các ứng viên, người phỏng vấn, phòng họp và khung năng lực.
2. Đăng nhập bằng tài khoản vai trò 'Nhân viên tuyển dụng' được phép thao tác.
3. Mở chức năng 'đặt lịch phỏng vấn cho một ứng viên' trên môi trường staging.
4. Thêm Interviewer A và B vào cùng lịch
5. lưu
6. mỗi người đăng nhập kiểm tra lịch cá nhân.
7. Ghi kết quả thực tế và đối chiếu tiêu chí S6-02-AC02.</x:v>
      </x:c>
      <x:c r="N209" s="20" t="str">
        <x:v>Chọn một hoặc nhiều người phỏng vấn</x:v>
      </x:c>
      <x:c r="O209" s="20" t="str"/>
      <x:c r="P209" s="20" t="str">
        <x:v>Chưa chạy</x:v>
      </x:c>
      <x:c r="Q209" s="20" t="str"/>
      <x:c r="R209" s="20" t="str"/>
      <x:c r="S209" s="26" t="str"/>
      <x:c r="T209" s="20" t="str">
        <x:v>Ưu tiên tự động hóa</x:v>
      </x:c>
      <x:c r="U209" s="20" t="str">
        <x:v>Nguồn: 4. Product Backlog!F67, tiêu chí 2</x:v>
      </x:c>
      <x:c r="V209" s="20" t="str">
        <x:v>S6-02</x:v>
      </x:c>
      <x:c r="W209" s="20" t="str">
        <x:v>Backlog / AC</x:v>
      </x:c>
    </x:row>
    <x:row r="210" ht="92" customHeight="1">
      <x:c r="A210" s="20" t="str">
        <x:v>TC-S6-02-03</x:v>
      </x:c>
      <x:c r="B210" s="20" t="n">
        <x:v>6</x:v>
      </x:c>
      <x:c r="C210" s="20" t="str">
        <x:v>EP-06</x:v>
      </x:c>
      <x:c r="D210" s="20" t="str">
        <x:v>S6-02</x:v>
      </x:c>
      <x:c r="E210" s="20" t="str">
        <x:v>S6-02-AC03</x:v>
      </x:c>
      <x:c r="F210" s="20" t="str">
        <x:v>Phỏng vấn &amp; Đánh giá</x:v>
      </x:c>
      <x:c r="G210" s="20" t="str">
        <x:v>Không đặt được lịch ở quá khứ</x:v>
      </x:c>
      <x:c r="H210" s="20" t="str">
        <x:v>Functional</x:v>
      </x:c>
      <x:c r="I210" s="20" t="str">
        <x:v>High</x:v>
      </x:c>
      <x:c r="J210" s="20" t="str">
        <x:v>Nhân viên tuyển dụng</x:v>
      </x:c>
      <x:c r="K210" s="20" t="str">
        <x:v>Có vị trí/các ứng viên, người phỏng vấn, phòng họp và khung năng lực.</x:v>
      </x:c>
      <x:c r="L210" s="20" t="str">
        <x:v>2026-10-05 09:00–10:00 ICT; Phòng họp A; interviewee 001</x:v>
      </x:c>
      <x:c r="M210" s="20" t="str">
        <x:v>1. Chuẩn bị dữ liệu: Có vị trí/các ứng viên, người phỏng vấn, phòng họp và khung năng lực.
2. Đăng nhập bằng tài khoản vai trò 'Nhân viên tuyển dụng' được phép thao tác.
3. Mở chức năng 'đặt lịch phỏng vấn cho một ứng viên' trên môi trường staging.
4. Dùng đồng hồ staging
5. đặt ngày hôm qua và thời điểm vừa qua
6. thử Lưu, rồi thử lịch tương lai.
7. Ghi kết quả thực tế và đối chiếu tiêu chí S6-02-AC03.</x:v>
      </x:c>
      <x:c r="N210" s="20" t="str">
        <x:v>Không đặt được lịch ở quá khứ</x:v>
      </x:c>
      <x:c r="O210" s="20" t="str"/>
      <x:c r="P210" s="20" t="str">
        <x:v>Chưa chạy</x:v>
      </x:c>
      <x:c r="Q210" s="20" t="str"/>
      <x:c r="R210" s="20" t="str"/>
      <x:c r="S210" s="26" t="str"/>
      <x:c r="T210" s="20" t="str">
        <x:v>Ưu tiên tự động hóa</x:v>
      </x:c>
      <x:c r="U210" s="20" t="str">
        <x:v>Nguồn: 4. Product Backlog!F67, tiêu chí 3</x:v>
      </x:c>
      <x:c r="V210" s="20" t="str">
        <x:v>S6-02</x:v>
      </x:c>
      <x:c r="W210" s="20" t="str">
        <x:v>Backlog / AC</x:v>
      </x:c>
    </x:row>
    <x:row r="211" ht="92" customHeight="1">
      <x:c r="A211" s="20" t="str">
        <x:v>TC-S6-02-04</x:v>
      </x:c>
      <x:c r="B211" s="20" t="n">
        <x:v>6</x:v>
      </x:c>
      <x:c r="C211" s="20" t="str">
        <x:v>EP-06</x:v>
      </x:c>
      <x:c r="D211" s="20" t="str">
        <x:v>S6-02</x:v>
      </x:c>
      <x:c r="E211" s="20" t="str">
        <x:v>S6-02-AC04</x:v>
      </x:c>
      <x:c r="F211" s="20" t="str">
        <x:v>Phỏng vấn &amp; Đánh giá</x:v>
      </x:c>
      <x:c r="G211" s="20" t="str">
        <x:v>Lịch được tạo hiển thị ngay trên hồ sơ ứng viên và trên lịch của người phỏng vấn</x:v>
      </x:c>
      <x:c r="H211" s="20" t="str">
        <x:v>Functional</x:v>
      </x:c>
      <x:c r="I211" s="20" t="str">
        <x:v>High</x:v>
      </x:c>
      <x:c r="J211" s="20" t="str">
        <x:v>Nhân viên tuyển dụng</x:v>
      </x:c>
      <x:c r="K211" s="20" t="str">
        <x:v>Có vị trí/các ứng viên, người phỏng vấn, phòng họp và khung năng lực.</x:v>
      </x:c>
      <x:c r="L211" s="20" t="str">
        <x:v>2026-10-05 09:00–10:00 ICT; Phòng họp A; interviewee 001</x:v>
      </x:c>
      <x:c r="M211" s="20" t="str">
        <x:v>1. Chuẩn bị dữ liệu: Có vị trí/các ứng viên, người phỏng vấn, phòng họp và khung năng lực.
2. Đăng nhập bằng tài khoản vai trò 'Nhân viên tuyển dụng' được phép thao tác.
3. Mở chức năng 'đặt lịch phỏng vấn cho một ứng viên' trên môi trường staging.
4. Tạo lịch hợp lệ
5. mở profile candidate và lịch cá nhân Interviewer A
6. đối chiếu ID, giờ và địa điểm.
7. Ghi kết quả thực tế và đối chiếu tiêu chí S6-02-AC04.</x:v>
      </x:c>
      <x:c r="N211" s="20" t="str">
        <x:v>Lịch được tạo hiển thị ngay trên hồ sơ ứng viên và trên lịch của người phỏng vấn</x:v>
      </x:c>
      <x:c r="O211" s="20" t="str"/>
      <x:c r="P211" s="20" t="str">
        <x:v>Chưa chạy</x:v>
      </x:c>
      <x:c r="Q211" s="20" t="str"/>
      <x:c r="R211" s="20" t="str"/>
      <x:c r="S211" s="26" t="str"/>
      <x:c r="T211" s="20" t="str">
        <x:v>Ưu tiên tự động hóa</x:v>
      </x:c>
      <x:c r="U211" s="20" t="str">
        <x:v>Nguồn: 4. Product Backlog!F67, tiêu chí 4</x:v>
      </x:c>
      <x:c r="V211" s="20" t="str">
        <x:v>S6-02</x:v>
      </x:c>
      <x:c r="W211" s="20" t="str">
        <x:v>Backlog / AC</x:v>
      </x:c>
    </x:row>
    <x:row r="212" ht="92" customHeight="1">
      <x:c r="A212" s="20" t="str">
        <x:v>TC-S6-02-X01</x:v>
      </x:c>
      <x:c r="B212" s="20" t="n">
        <x:v>6</x:v>
      </x:c>
      <x:c r="C212" s="20" t="str">
        <x:v>EP-06</x:v>
      </x:c>
      <x:c r="D212" s="20" t="str">
        <x:v>S6-02</x:v>
      </x:c>
      <x:c r="E212" s="20" t="str">
        <x:v>QA-EXTRA</x:v>
      </x:c>
      <x:c r="F212" s="20" t="str">
        <x:v>Phỏng vấn &amp; Đánh giá</x:v>
      </x:c>
      <x:c r="G212" s="20" t="str">
        <x:v>Chặn lịch bắt đầu trước hiện tại 1 phút</x:v>
      </x:c>
      <x:c r="H212" s="20" t="str">
        <x:v>Boundary</x:v>
      </x:c>
      <x:c r="I212" s="20" t="str">
        <x:v>High</x:v>
      </x:c>
      <x:c r="J212" s="20" t="str">
        <x:v>Nhân viên tuyển dụng</x:v>
      </x:c>
      <x:c r="K212" s="20" t="str">
        <x:v>Có vị trí/các ứng viên, người phỏng vấn, phòng họp và khung năng lực.</x:v>
      </x:c>
      <x:c r="L212" s="20" t="str">
        <x:v>Thời điểm hiện tại ICT; lịch bắt đầu -1 phút và +1 giờ</x:v>
      </x:c>
      <x:c r="M212" s="20" t="str">
        <x:v>1. Thử tạo lịch quá khứ
2. Thử lịch tương lai
3. Kiểm tra lịch người phỏng vấn</x:v>
      </x:c>
      <x:c r="N212" s="20" t="str">
        <x:v>Lịch quá khứ bị chặn theo đồng hồ server; lịch tương lai hợp lệ hiển thị đúng ICT</x:v>
      </x:c>
      <x:c r="O212" s="20" t="str"/>
      <x:c r="P212" s="20" t="str">
        <x:v>Chưa chạy</x:v>
      </x:c>
      <x:c r="Q212" s="20" t="str"/>
      <x:c r="R212" s="20" t="str"/>
      <x:c r="S212" s="26" t="str"/>
      <x:c r="T212" s="20" t="str">
        <x:v>Ưu tiên tự động hóa</x:v>
      </x:c>
      <x:c r="U212" s="20" t="str">
        <x:v>Kịch bản rủi ro/biên; nếu vượt yêu cầu backlog, xác nhận PO.</x:v>
      </x:c>
      <x:c r="V212" s="20" t="str">
        <x:v>S6-02</x:v>
      </x:c>
      <x:c r="W212" s="20" t="str">
        <x:v>Bổ sung QA</x:v>
      </x:c>
    </x:row>
    <x:row r="213" ht="92" customHeight="1">
      <x:c r="A213" s="20" t="str">
        <x:v>TC-S6-03-01</x:v>
      </x:c>
      <x:c r="B213" s="20" t="n">
        <x:v>6</x:v>
      </x:c>
      <x:c r="C213" s="20" t="str">
        <x:v>EP-06</x:v>
      </x:c>
      <x:c r="D213" s="20" t="str">
        <x:v>S6-03</x:v>
      </x:c>
      <x:c r="E213" s="20" t="str">
        <x:v>S6-03-AC01</x:v>
      </x:c>
      <x:c r="F213" s="20" t="str">
        <x:v>Phỏng vấn &amp; Đánh giá</x:v>
      </x:c>
      <x:c r="G213" s="20" t="str">
        <x:v>Chọn nhiều ứng viên và một khung giờ, hệ thống chia khe thời gian liên tiếp</x:v>
      </x:c>
      <x:c r="H213" s="20" t="str">
        <x:v>Functional</x:v>
      </x:c>
      <x:c r="I213" s="20" t="str">
        <x:v>Medium</x:v>
      </x:c>
      <x:c r="J213" s="20" t="str">
        <x:v>Nhân viên tuyển dụng</x:v>
      </x:c>
      <x:c r="K213" s="20" t="str">
        <x:v>Có vị trí/các ứng viên, người phỏng vấn, phòng họp và khung năng lực.</x:v>
      </x:c>
      <x:c r="L213" s="20" t="str">
        <x:v>2026-10-05 09:00–10:00 ICT; Phòng họp A; interviewee 001</x:v>
      </x:c>
      <x:c r="M213" s="20" t="str">
        <x:v>1. Chuẩn bị dữ liệu: Có vị trí/các ứng viên, người phỏng vấn, phòng họp và khung năng lực.
2. Đăng nhập bằng tài khoản vai trò 'Nhân viên tuyển dụng' được phép thao tác.
3. Mở chức năng 'đặt lịch hàng loạt cho nhiều ứng viên trong cùng một vòng' trên môi trường staging.
4. Chọn 10 candidate và lịch bắt đầu 13:00, 20 phút mỗi người
5. sinh các khung liên tiếp rồi lưu.
6. Ghi kết quả thực tế và đối chiếu tiêu chí S6-03-AC01.</x:v>
      </x:c>
      <x:c r="N213" s="20" t="str">
        <x:v>Chọn nhiều ứng viên và một khung giờ, hệ thống chia khe thời gian liên tiếp</x:v>
      </x:c>
      <x:c r="O213" s="20" t="str"/>
      <x:c r="P213" s="20" t="str">
        <x:v>Chưa chạy</x:v>
      </x:c>
      <x:c r="Q213" s="20" t="str"/>
      <x:c r="R213" s="20" t="str"/>
      <x:c r="S213" s="26" t="str"/>
      <x:c r="T213" s="20" t="str">
        <x:v>Cân nhắc</x:v>
      </x:c>
      <x:c r="U213" s="20" t="str">
        <x:v>Nguồn: 4. Product Backlog!F68, tiêu chí 1</x:v>
      </x:c>
      <x:c r="V213" s="20" t="str">
        <x:v>S6-03</x:v>
      </x:c>
      <x:c r="W213" s="20" t="str">
        <x:v>Backlog / AC</x:v>
      </x:c>
    </x:row>
    <x:row r="214" ht="92" customHeight="1">
      <x:c r="A214" s="20" t="str">
        <x:v>TC-S6-03-02</x:v>
      </x:c>
      <x:c r="B214" s="20" t="n">
        <x:v>6</x:v>
      </x:c>
      <x:c r="C214" s="20" t="str">
        <x:v>EP-06</x:v>
      </x:c>
      <x:c r="D214" s="20" t="str">
        <x:v>S6-03</x:v>
      </x:c>
      <x:c r="E214" s="20" t="str">
        <x:v>S6-03-AC02</x:v>
      </x:c>
      <x:c r="F214" s="20" t="str">
        <x:v>Phỏng vấn &amp; Đánh giá</x:v>
      </x:c>
      <x:c r="G214" s="20" t="str">
        <x:v>Xem trước toàn bộ khe giờ trước khi xác nhận</x:v>
      </x:c>
      <x:c r="H214" s="20" t="str">
        <x:v>Functional</x:v>
      </x:c>
      <x:c r="I214" s="20" t="str">
        <x:v>Medium</x:v>
      </x:c>
      <x:c r="J214" s="20" t="str">
        <x:v>Nhân viên tuyển dụng</x:v>
      </x:c>
      <x:c r="K214" s="20" t="str">
        <x:v>Có vị trí/các ứng viên, người phỏng vấn, phòng họp và khung năng lực.</x:v>
      </x:c>
      <x:c r="L214" s="20" t="str">
        <x:v>2026-10-05 09:00–10:00 ICT; Phòng họp A; interviewee 001</x:v>
      </x:c>
      <x:c r="M214" s="20" t="str">
        <x:v>1. Chuẩn bị dữ liệu: Có vị trí/các ứng viên, người phỏng vấn, phòng họp và khung năng lực.
2. Đăng nhập bằng tài khoản vai trò 'Nhân viên tuyển dụng' được phép thao tác.
3. Mở chức năng 'đặt lịch hàng loạt cho nhiều ứng viên trong cùng một vòng' trên môi trường staging.
4. Chọn batch 10 candidate
5. mở preview
6. đối chiếu 10 khe giờ và người/phòng trước xác nhận.
7. Ghi kết quả thực tế và đối chiếu tiêu chí S6-03-AC02.</x:v>
      </x:c>
      <x:c r="N214" s="20" t="str">
        <x:v>Xem trước toàn bộ khe giờ trước khi xác nhận</x:v>
      </x:c>
      <x:c r="O214" s="20" t="str"/>
      <x:c r="P214" s="20" t="str">
        <x:v>Chưa chạy</x:v>
      </x:c>
      <x:c r="Q214" s="20" t="str"/>
      <x:c r="R214" s="20" t="str"/>
      <x:c r="S214" s="26" t="str"/>
      <x:c r="T214" s="20" t="str">
        <x:v>Cân nhắc</x:v>
      </x:c>
      <x:c r="U214" s="20" t="str">
        <x:v>Nguồn: 4. Product Backlog!F68, tiêu chí 2</x:v>
      </x:c>
      <x:c r="V214" s="20" t="str">
        <x:v>S6-03</x:v>
      </x:c>
      <x:c r="W214" s="20" t="str">
        <x:v>Backlog / AC</x:v>
      </x:c>
    </x:row>
    <x:row r="215" ht="92" customHeight="1">
      <x:c r="A215" s="20" t="str">
        <x:v>TC-S6-03-03</x:v>
      </x:c>
      <x:c r="B215" s="20" t="n">
        <x:v>6</x:v>
      </x:c>
      <x:c r="C215" s="20" t="str">
        <x:v>EP-06</x:v>
      </x:c>
      <x:c r="D215" s="20" t="str">
        <x:v>S6-03</x:v>
      </x:c>
      <x:c r="E215" s="20" t="str">
        <x:v>S6-03-AC03</x:v>
      </x:c>
      <x:c r="F215" s="20" t="str">
        <x:v>Phỏng vấn &amp; Đánh giá</x:v>
      </x:c>
      <x:c r="G215" s="20" t="str">
        <x:v>Thư mời được gửi cho từng ứng viên với đúng khe giờ của họ</x:v>
      </x:c>
      <x:c r="H215" s="20" t="str">
        <x:v>Functional</x:v>
      </x:c>
      <x:c r="I215" s="20" t="str">
        <x:v>Medium</x:v>
      </x:c>
      <x:c r="J215" s="20" t="str">
        <x:v>Nhân viên tuyển dụng</x:v>
      </x:c>
      <x:c r="K215" s="20" t="str">
        <x:v>Có vị trí/các ứng viên, người phỏng vấn, phòng họp và khung năng lực.</x:v>
      </x:c>
      <x:c r="L215" s="20" t="str">
        <x:v>2026-10-05 09:00–10:00 ICT; Phòng họp A; interviewee 001</x:v>
      </x:c>
      <x:c r="M215" s="20" t="str">
        <x:v>1. Chuẩn bị dữ liệu: Có vị trí/các ứng viên, người phỏng vấn, phòng họp và khung năng lực.
2. Đăng nhập bằng tài khoản vai trò 'Nhân viên tuyển dụng' được phép thao tác.
3. Mở chức năng 'đặt lịch hàng loạt cho nhiều ứng viên trong cùng một vòng' trên môi trường staging.
4. Thực hiện thao tác phát sinh email/thông báo; đọc hộp thư sandbox và thông báo trong ứng dụng.
5. Đối chiếu người nhận, nội dung, thời điểm, trạng thái và việc chống gửi trùng.</x:v>
      </x:c>
      <x:c r="N215" s="20" t="str">
        <x:v>Thư mời được gửi cho từng ứng viên với đúng khe giờ của họ</x:v>
      </x:c>
      <x:c r="O215" s="20" t="str"/>
      <x:c r="P215" s="20" t="str">
        <x:v>Chưa chạy</x:v>
      </x:c>
      <x:c r="Q215" s="20" t="str"/>
      <x:c r="R215" s="20" t="str"/>
      <x:c r="S215" s="26" t="str"/>
      <x:c r="T215" s="20" t="str">
        <x:v>Cân nhắc</x:v>
      </x:c>
      <x:c r="U215" s="20" t="str">
        <x:v>Nguồn: 4. Product Backlog!F68, tiêu chí 3</x:v>
      </x:c>
      <x:c r="V215" s="20" t="str">
        <x:v>S6-03</x:v>
      </x:c>
      <x:c r="W215" s="20" t="str">
        <x:v>Backlog / AC</x:v>
      </x:c>
    </x:row>
    <x:row r="216" ht="92" customHeight="1">
      <x:c r="A216" s="20" t="str">
        <x:v>TC-S6-03-X01</x:v>
      </x:c>
      <x:c r="B216" s="20" t="n">
        <x:v>6</x:v>
      </x:c>
      <x:c r="C216" s="20" t="str">
        <x:v>EP-06</x:v>
      </x:c>
      <x:c r="D216" s="20" t="str">
        <x:v>S6-03</x:v>
      </x:c>
      <x:c r="E216" s="20" t="str">
        <x:v>QA-EXTRA</x:v>
      </x:c>
      <x:c r="F216" s="20" t="str">
        <x:v>Phỏng vấn &amp; Đánh giá</x:v>
      </x:c>
      <x:c r="G216" s="20" t="str">
        <x:v>Đặt lịch hàng loạt phải có khe giờ không chồng lấp</x:v>
      </x:c>
      <x:c r="H216" s="20" t="str">
        <x:v>Boundary</x:v>
      </x:c>
      <x:c r="I216" s="20" t="str">
        <x:v>Medium</x:v>
      </x:c>
      <x:c r="J216" s="20" t="str">
        <x:v>Nhân viên tuyển dụng</x:v>
      </x:c>
      <x:c r="K216" s="20" t="str">
        <x:v>Có vị trí/các ứng viên, người phỏng vấn, phòng họp và khung năng lực.</x:v>
      </x:c>
      <x:c r="L216" s="20" t="str">
        <x:v>10 ứng viên, thời lượng 20 phút, bắt đầu 13:00</x:v>
      </x:c>
      <x:c r="M216" s="20" t="str">
        <x:v>1. Xem trước batch 10 ứng viên
2. Xác nhận
3. Kiểm tra từng khoảng và thư mời</x:v>
      </x:c>
      <x:c r="N216" s="20" t="str">
        <x:v>Có 10 khe liên tiếp không chồng lấp, email đúng từng ứng viên; nếu xung đột thì báo trước khi xác nhận</x:v>
      </x:c>
      <x:c r="O216" s="20" t="str"/>
      <x:c r="P216" s="20" t="str">
        <x:v>Chưa chạy</x:v>
      </x:c>
      <x:c r="Q216" s="20" t="str"/>
      <x:c r="R216" s="20" t="str"/>
      <x:c r="S216" s="26" t="str"/>
      <x:c r="T216" s="20" t="str">
        <x:v>Cân nhắc</x:v>
      </x:c>
      <x:c r="U216" s="20" t="str">
        <x:v>Kịch bản rủi ro/biên; nếu vượt yêu cầu backlog, xác nhận PO.</x:v>
      </x:c>
      <x:c r="V216" s="20" t="str">
        <x:v>S6-03</x:v>
      </x:c>
      <x:c r="W216" s="20" t="str">
        <x:v>Bổ sung QA</x:v>
      </x:c>
    </x:row>
    <x:row r="217" ht="92" customHeight="1">
      <x:c r="A217" s="20" t="str">
        <x:v>TC-S6-04-01</x:v>
      </x:c>
      <x:c r="B217" s="20" t="n">
        <x:v>6</x:v>
      </x:c>
      <x:c r="C217" s="20" t="str">
        <x:v>EP-06</x:v>
      </x:c>
      <x:c r="D217" s="20" t="str">
        <x:v>S6-04</x:v>
      </x:c>
      <x:c r="E217" s="20" t="str">
        <x:v>S6-04-AC01</x:v>
      </x:c>
      <x:c r="F217" s="20" t="str">
        <x:v>Phỏng vấn &amp; Đánh giá</x:v>
      </x:c>
      <x:c r="G217" s="20" t="str">
        <x:v>Kiểm tra trùng theo từng người phỏng vấn và theo phòng trong cùng khung giờ</x:v>
      </x:c>
      <x:c r="H217" s="20" t="str">
        <x:v>Functional</x:v>
      </x:c>
      <x:c r="I217" s="20" t="str">
        <x:v>Critical</x:v>
      </x:c>
      <x:c r="J217" s="20" t="str">
        <x:v>Nhân viên tuyển dụng</x:v>
      </x:c>
      <x:c r="K217" s="20" t="str">
        <x:v>Có vị trí/các ứng viên, người phỏng vấn, phòng họp và khung năng lực.</x:v>
      </x:c>
      <x:c r="L217" s="20" t="str">
        <x:v>2026-10-05 09:00–10:00 ICT; Phòng họp A; interviewee 001</x:v>
      </x:c>
      <x:c r="M217" s="20" t="str">
        <x:v>1. Chuẩn bị dữ liệu: Có vị trí/các ứng viên, người phỏng vấn, phòng họp và khung năng lực.
2. Đăng nhập bằng tài khoản vai trò 'Nhân viên tuyển dụng' được phép thao tác.
3. Mở chức năng 'được cảnh báo khi người phỏng vấn hoặc phòng họp bị trùng lịch' trên môi trường staging.
4. Tạo hai bản ghi/khung giờ có cùng khoá nghiệp vụ (email, số điện thoại, vị trí hoặc người/phòng trùng lịch).
5. Thực hiện lưu/gộp/đặt lịch và kiểm tra cảnh báo, dữ liệu sau thao tác.</x:v>
      </x:c>
      <x:c r="N217" s="20" t="str">
        <x:v>Kiểm tra trùng theo từng người phỏng vấn và theo phòng trong cùng khung giờ</x:v>
      </x:c>
      <x:c r="O217" s="20" t="str"/>
      <x:c r="P217" s="20" t="str">
        <x:v>Chưa chạy</x:v>
      </x:c>
      <x:c r="Q217" s="20" t="str"/>
      <x:c r="R217" s="20" t="str"/>
      <x:c r="S217" s="26" t="str"/>
      <x:c r="T217" s="20" t="str">
        <x:v>Ưu tiên tự động hóa</x:v>
      </x:c>
      <x:c r="U217" s="20" t="str">
        <x:v>Nguồn: 4. Product Backlog!F69, tiêu chí 1</x:v>
      </x:c>
      <x:c r="V217" s="20" t="str">
        <x:v>S6-04</x:v>
      </x:c>
      <x:c r="W217" s="20" t="str">
        <x:v>Backlog / AC</x:v>
      </x:c>
    </x:row>
    <x:row r="218" ht="92" customHeight="1">
      <x:c r="A218" s="20" t="str">
        <x:v>TC-S6-04-02</x:v>
      </x:c>
      <x:c r="B218" s="20" t="n">
        <x:v>6</x:v>
      </x:c>
      <x:c r="C218" s="20" t="str">
        <x:v>EP-06</x:v>
      </x:c>
      <x:c r="D218" s="20" t="str">
        <x:v>S6-04</x:v>
      </x:c>
      <x:c r="E218" s="20" t="str">
        <x:v>S6-04-AC02</x:v>
      </x:c>
      <x:c r="F218" s="20" t="str">
        <x:v>Phỏng vấn &amp; Đánh giá</x:v>
      </x:c>
      <x:c r="G218" s="20" t="str">
        <x:v>Hiển thị rõ buổi nào đang xung đột với buổi nào</x:v>
      </x:c>
      <x:c r="H218" s="20" t="str">
        <x:v>Functional</x:v>
      </x:c>
      <x:c r="I218" s="20" t="str">
        <x:v>Critical</x:v>
      </x:c>
      <x:c r="J218" s="20" t="str">
        <x:v>Nhân viên tuyển dụng</x:v>
      </x:c>
      <x:c r="K218" s="20" t="str">
        <x:v>Có vị trí/các ứng viên, người phỏng vấn, phòng họp và khung năng lực.</x:v>
      </x:c>
      <x:c r="L218" s="20" t="str">
        <x:v>2026-10-05 09:00–10:00 ICT; Phòng họp A; interviewee 001</x:v>
      </x:c>
      <x:c r="M218" s="20" t="str">
        <x:v>1. Chuẩn bị dữ liệu: Có vị trí/các ứng viên, người phỏng vấn, phòng họp và khung năng lực.
2. Đăng nhập bằng tài khoản vai trò 'Nhân viên tuyển dụng' được phép thao tác.
3. Mở chức năng 'được cảnh báo khi người phỏng vấn hoặc phòng họp bị trùng lịch' trên môi trường staging.
4. Tạo hai bản ghi/khung giờ có cùng khoá nghiệp vụ (email, số điện thoại, vị trí hoặc người/phòng trùng lịch).
5. Thực hiện lưu/gộp/đặt lịch và kiểm tra cảnh báo, dữ liệu sau thao tác.</x:v>
      </x:c>
      <x:c r="N218" s="20" t="str">
        <x:v>Hiển thị rõ buổi nào đang xung đột với buổi nào</x:v>
      </x:c>
      <x:c r="O218" s="20" t="str"/>
      <x:c r="P218" s="20" t="str">
        <x:v>Chưa chạy</x:v>
      </x:c>
      <x:c r="Q218" s="20" t="str"/>
      <x:c r="R218" s="20" t="str"/>
      <x:c r="S218" s="26" t="str"/>
      <x:c r="T218" s="20" t="str">
        <x:v>Ưu tiên tự động hóa</x:v>
      </x:c>
      <x:c r="U218" s="20" t="str">
        <x:v>Nguồn: 4. Product Backlog!F69, tiêu chí 2</x:v>
      </x:c>
      <x:c r="V218" s="20" t="str">
        <x:v>S6-04</x:v>
      </x:c>
      <x:c r="W218" s="20" t="str">
        <x:v>Backlog / AC</x:v>
      </x:c>
    </x:row>
    <x:row r="219" ht="92" customHeight="1">
      <x:c r="A219" s="20" t="str">
        <x:v>TC-S6-04-03</x:v>
      </x:c>
      <x:c r="B219" s="20" t="n">
        <x:v>6</x:v>
      </x:c>
      <x:c r="C219" s="20" t="str">
        <x:v>EP-06</x:v>
      </x:c>
      <x:c r="D219" s="20" t="str">
        <x:v>S6-04</x:v>
      </x:c>
      <x:c r="E219" s="20" t="str">
        <x:v>S6-04-AC03</x:v>
      </x:c>
      <x:c r="F219" s="20" t="str">
        <x:v>Phỏng vấn &amp; Đánh giá</x:v>
      </x:c>
      <x:c r="G219" s="20" t="str">
        <x:v>Trùng là lỗi chặn, không cho lưu, trừ khi recruiter xác nhận ghi đè kèm lý do</x:v>
      </x:c>
      <x:c r="H219" s="20" t="str">
        <x:v>Negative / RBAC</x:v>
      </x:c>
      <x:c r="I219" s="20" t="str">
        <x:v>Critical</x:v>
      </x:c>
      <x:c r="J219" s="20" t="str">
        <x:v>Nhân viên tuyển dụng</x:v>
      </x:c>
      <x:c r="K219" s="20" t="str">
        <x:v>Có vị trí/các ứng viên, người phỏng vấn, phòng họp và khung năng lực.</x:v>
      </x:c>
      <x:c r="L219" s="20" t="str">
        <x:v>2026-10-05 09:00–10:00 ICT; Phòng họp A; interviewee 001</x:v>
      </x:c>
      <x:c r="M219" s="20" t="str">
        <x:v>1. Chuẩn bị dữ liệu: Có vị trí/các ứng viên, người phỏng vấn, phòng họp và khung năng lực.
2. Đăng nhập bằng tài khoản vai trò 'Nhân viên tuyển dụng' được phép thao tác.
3. Mở chức năng 'được cảnh báo khi người phỏng vấn hoặc phòng họp bị trùng lịch' trên môi trường staging.
4. Tạo hai bản ghi/khung giờ có cùng khoá nghiệp vụ (email, số điện thoại, vị trí hoặc người/phòng trùng lịch).
5. Thực hiện lưu/gộp/đặt lịch và kiểm tra cảnh báo, dữ liệu sau thao tác.</x:v>
      </x:c>
      <x:c r="N219" s="20" t="str">
        <x:v>Trùng là lỗi chặn, không cho lưu, trừ khi recruiter xác nhận ghi đè kèm lý do</x:v>
      </x:c>
      <x:c r="O219" s="20" t="str"/>
      <x:c r="P219" s="20" t="str">
        <x:v>Chưa chạy</x:v>
      </x:c>
      <x:c r="Q219" s="20" t="str"/>
      <x:c r="R219" s="20" t="str"/>
      <x:c r="S219" s="26" t="str"/>
      <x:c r="T219" s="20" t="str">
        <x:v>Ưu tiên tự động hóa</x:v>
      </x:c>
      <x:c r="U219" s="20" t="str">
        <x:v>Nguồn: 4. Product Backlog!F69, tiêu chí 3</x:v>
      </x:c>
      <x:c r="V219" s="20" t="str">
        <x:v>S6-04</x:v>
      </x:c>
      <x:c r="W219" s="20" t="str">
        <x:v>Backlog / AC</x:v>
      </x:c>
    </x:row>
    <x:row r="220" ht="92" customHeight="1">
      <x:c r="A220" s="20" t="str">
        <x:v>TC-S6-04-X01</x:v>
      </x:c>
      <x:c r="B220" s="20" t="n">
        <x:v>6</x:v>
      </x:c>
      <x:c r="C220" s="20" t="str">
        <x:v>EP-06</x:v>
      </x:c>
      <x:c r="D220" s="20" t="str">
        <x:v>S6-04</x:v>
      </x:c>
      <x:c r="E220" s="20" t="str">
        <x:v>QA-EXTRA</x:v>
      </x:c>
      <x:c r="F220" s="20" t="str">
        <x:v>Phỏng vấn &amp; Đánh giá</x:v>
      </x:c>
      <x:c r="G220" s="20" t="str">
        <x:v>Hai request đặt cùng phòng và giờ đồng thời</x:v>
      </x:c>
      <x:c r="H220" s="20" t="str">
        <x:v>Concurrency</x:v>
      </x:c>
      <x:c r="I220" s="20" t="str">
        <x:v>Critical</x:v>
      </x:c>
      <x:c r="J220" s="20" t="str">
        <x:v>Nhân viên tuyển dụng</x:v>
      </x:c>
      <x:c r="K220" s="20" t="str">
        <x:v>Có vị trí/các ứng viên, người phỏng vấn, phòng họp và khung năng lực.</x:v>
      </x:c>
      <x:c r="L220" s="20" t="str">
        <x:v>Recruiter A/B cùng đặt phòng A 09:00–10:00</x:v>
      </x:c>
      <x:c r="M220" s="20" t="str">
        <x:v>1. Gửi hai request đồng thời
2. Đọc danh sách lịch và audit</x:v>
      </x:c>
      <x:c r="N220" s="20" t="str">
        <x:v>Chỉ một lịch thành công khi không có ghi đè hợp lệ; không double-book do race condition</x:v>
      </x:c>
      <x:c r="O220" s="20" t="str"/>
      <x:c r="P220" s="20" t="str">
        <x:v>Chưa chạy</x:v>
      </x:c>
      <x:c r="Q220" s="20" t="str"/>
      <x:c r="R220" s="20" t="str"/>
      <x:c r="S220" s="26" t="str"/>
      <x:c r="T220" s="20" t="str">
        <x:v>Ưu tiên tự động hóa</x:v>
      </x:c>
      <x:c r="U220" s="20" t="str">
        <x:v>Kịch bản rủi ro/biên; nếu vượt yêu cầu backlog, xác nhận PO.</x:v>
      </x:c>
      <x:c r="V220" s="20" t="str">
        <x:v>S6-04</x:v>
      </x:c>
      <x:c r="W220" s="20" t="str">
        <x:v>Bổ sung QA</x:v>
      </x:c>
    </x:row>
    <x:row r="221" ht="92" customHeight="1">
      <x:c r="A221" s="20" t="str">
        <x:v>TC-S6-05-01</x:v>
      </x:c>
      <x:c r="B221" s="20" t="n">
        <x:v>6</x:v>
      </x:c>
      <x:c r="C221" s="20" t="str">
        <x:v>EP-06</x:v>
      </x:c>
      <x:c r="D221" s="20" t="str">
        <x:v>S6-05</x:v>
      </x:c>
      <x:c r="E221" s="20" t="str">
        <x:v>S6-05-AC01</x:v>
      </x:c>
      <x:c r="F221" s="20" t="str">
        <x:v>Phỏng vấn &amp; Đánh giá</x:v>
      </x:c>
      <x:c r="G221" s="20" t="str">
        <x:v>Email chứa thời gian, địa điểm hoặc liên kết họp, tên vị trí, hướng dẫn chuẩn bị</x:v>
      </x:c>
      <x:c r="H221" s="20" t="str">
        <x:v>Functional</x:v>
      </x:c>
      <x:c r="I221" s="20" t="str">
        <x:v>High</x:v>
      </x:c>
      <x:c r="J221" s="20" t="str">
        <x:v>Ứng viên</x:v>
      </x:c>
      <x:c r="K221" s="20" t="str">
        <x:v>Có vị trí/các ứng viên, người phỏng vấn, phòng họp và khung năng lực.</x:v>
      </x:c>
      <x:c r="L221" s="20" t="str">
        <x:v>2026-10-05 09:00–10:00 ICT; Phòng họp A; interviewee 001</x:v>
      </x:c>
      <x:c r="M221" s="20" t="str">
        <x:v>1. Chuẩn bị dữ liệu: Có vị trí/các ứng viên, người phỏng vấn, phòng họp và khung năng lực.
2. Mở cổng tuyển dụng công khai / đường dẫn gửi tới ứng viên.
3. Mở chức năng 'nhận thư mời phỏng vấn và xác nhận tham dự' trên môi trường staging.
4. Thực hiện thao tác phát sinh email/thông báo; đọc hộp thư sandbox và thông báo trong ứng dụng.
5. Đối chiếu người nhận, nội dung, thời điểm, trạng thái và việc chống gửi trùng.</x:v>
      </x:c>
      <x:c r="N221" s="20" t="str">
        <x:v>Email chứa thời gian, địa điểm hoặc liên kết họp, tên vị trí, hướng dẫn chuẩn bị</x:v>
      </x:c>
      <x:c r="O221" s="20" t="str"/>
      <x:c r="P221" s="20" t="str">
        <x:v>Chưa chạy</x:v>
      </x:c>
      <x:c r="Q221" s="20" t="str"/>
      <x:c r="R221" s="20" t="str"/>
      <x:c r="S221" s="26" t="str"/>
      <x:c r="T221" s="20" t="str">
        <x:v>Ưu tiên tự động hóa</x:v>
      </x:c>
      <x:c r="U221" s="20" t="str">
        <x:v>Nguồn: 4. Product Backlog!F70, tiêu chí 1</x:v>
      </x:c>
      <x:c r="V221" s="20" t="str">
        <x:v>S6-05</x:v>
      </x:c>
      <x:c r="W221" s="20" t="str">
        <x:v>Backlog / AC</x:v>
      </x:c>
    </x:row>
    <x:row r="222" ht="92" customHeight="1">
      <x:c r="A222" s="20" t="str">
        <x:v>TC-S6-05-02</x:v>
      </x:c>
      <x:c r="B222" s="20" t="n">
        <x:v>6</x:v>
      </x:c>
      <x:c r="C222" s="20" t="str">
        <x:v>EP-06</x:v>
      </x:c>
      <x:c r="D222" s="20" t="str">
        <x:v>S6-05</x:v>
      </x:c>
      <x:c r="E222" s="20" t="str">
        <x:v>S6-05-AC02</x:v>
      </x:c>
      <x:c r="F222" s="20" t="str">
        <x:v>Phỏng vấn &amp; Đánh giá</x:v>
      </x:c>
      <x:c r="G222" s="20" t="str">
        <x:v>Ứng viên bấm xác nhận hoặc đề nghị đổi lịch qua liên kết trong thư</x:v>
      </x:c>
      <x:c r="H222" s="20" t="str">
        <x:v>Functional</x:v>
      </x:c>
      <x:c r="I222" s="20" t="str">
        <x:v>High</x:v>
      </x:c>
      <x:c r="J222" s="20" t="str">
        <x:v>Ứng viên</x:v>
      </x:c>
      <x:c r="K222" s="20" t="str">
        <x:v>Có vị trí/các ứng viên, người phỏng vấn, phòng họp và khung năng lực.</x:v>
      </x:c>
      <x:c r="L222" s="20" t="str">
        <x:v>2026-10-05 09:00–10:00 ICT; Phòng họp A; interviewee 001</x:v>
      </x:c>
      <x:c r="M222" s="20" t="str">
        <x:v>1. Chuẩn bị dữ liệu: Có vị trí/các ứng viên, người phỏng vấn, phòng họp và khung năng lực.
2. Mở cổng tuyển dụng công khai / đường dẫn gửi tới ứng viên.
3. Mở chức năng 'nhận thư mời phỏng vấn và xác nhận tham dự' trên môi trường staging.
4. Mở email sandbox của ứng viên
5. bấm Xác nhận
6. tạo lịch khác rồi bấm Đề nghị đổi lịch
7. xem API status.
8. Ghi kết quả thực tế và đối chiếu tiêu chí S6-05-AC02.</x:v>
      </x:c>
      <x:c r="N222" s="20" t="str">
        <x:v>Ứng viên bấm xác nhận hoặc đề nghị đổi lịch qua liên kết trong thư</x:v>
      </x:c>
      <x:c r="O222" s="20" t="str"/>
      <x:c r="P222" s="20" t="str">
        <x:v>Chưa chạy</x:v>
      </x:c>
      <x:c r="Q222" s="20" t="str"/>
      <x:c r="R222" s="20" t="str"/>
      <x:c r="S222" s="26" t="str"/>
      <x:c r="T222" s="20" t="str">
        <x:v>Ưu tiên tự động hóa</x:v>
      </x:c>
      <x:c r="U222" s="20" t="str">
        <x:v>Nguồn: 4. Product Backlog!F70, tiêu chí 2</x:v>
      </x:c>
      <x:c r="V222" s="20" t="str">
        <x:v>S6-05</x:v>
      </x:c>
      <x:c r="W222" s="20" t="str">
        <x:v>Backlog / AC</x:v>
      </x:c>
    </x:row>
    <x:row r="223" ht="92" customHeight="1">
      <x:c r="A223" s="20" t="str">
        <x:v>TC-S6-05-03</x:v>
      </x:c>
      <x:c r="B223" s="20" t="n">
        <x:v>6</x:v>
      </x:c>
      <x:c r="C223" s="20" t="str">
        <x:v>EP-06</x:v>
      </x:c>
      <x:c r="D223" s="20" t="str">
        <x:v>S6-05</x:v>
      </x:c>
      <x:c r="E223" s="20" t="str">
        <x:v>S6-05-AC03</x:v>
      </x:c>
      <x:c r="F223" s="20" t="str">
        <x:v>Phỏng vấn &amp; Đánh giá</x:v>
      </x:c>
      <x:c r="G223" s="20" t="str">
        <x:v>Trạng thái xác nhận hiển thị cho recruiter</x:v>
      </x:c>
      <x:c r="H223" s="20" t="str">
        <x:v>Functional</x:v>
      </x:c>
      <x:c r="I223" s="20" t="str">
        <x:v>High</x:v>
      </x:c>
      <x:c r="J223" s="20" t="str">
        <x:v>Ứng viên</x:v>
      </x:c>
      <x:c r="K223" s="20" t="str">
        <x:v>Có vị trí/các ứng viên, người phỏng vấn, phòng họp và khung năng lực.</x:v>
      </x:c>
      <x:c r="L223" s="20" t="str">
        <x:v>2026-10-05 09:00–10:00 ICT; Phòng họp A; interviewee 001</x:v>
      </x:c>
      <x:c r="M223" s="20" t="str">
        <x:v>1. Chuẩn bị dữ liệu: Có vị trí/các ứng viên, người phỏng vấn, phòng họp và khung năng lực.
2. Mở cổng tuyển dụng công khai / đường dẫn gửi tới ứng viên.
3. Mở chức năng 'nhận thư mời phỏng vấn và xác nhận tham dự' trên môi trường staging.
4. Ứng viên xác nhận qua link email
5. Recruiter reload lịch và xem nhãn xác nhận, thời điểm thay đổi.
6. Ghi kết quả thực tế và đối chiếu tiêu chí S6-05-AC03.</x:v>
      </x:c>
      <x:c r="N223" s="20" t="str">
        <x:v>Trạng thái xác nhận hiển thị cho recruiter</x:v>
      </x:c>
      <x:c r="O223" s="20" t="str"/>
      <x:c r="P223" s="20" t="str">
        <x:v>Chưa chạy</x:v>
      </x:c>
      <x:c r="Q223" s="20" t="str"/>
      <x:c r="R223" s="20" t="str"/>
      <x:c r="S223" s="26" t="str"/>
      <x:c r="T223" s="20" t="str">
        <x:v>Ưu tiên tự động hóa</x:v>
      </x:c>
      <x:c r="U223" s="20" t="str">
        <x:v>Nguồn: 4. Product Backlog!F70, tiêu chí 3</x:v>
      </x:c>
      <x:c r="V223" s="20" t="str">
        <x:v>S6-05</x:v>
      </x:c>
      <x:c r="W223" s="20" t="str">
        <x:v>Backlog / AC</x:v>
      </x:c>
    </x:row>
    <x:row r="224" ht="92" customHeight="1">
      <x:c r="A224" s="20" t="str">
        <x:v>TC-S6-05-04</x:v>
      </x:c>
      <x:c r="B224" s="20" t="n">
        <x:v>6</x:v>
      </x:c>
      <x:c r="C224" s="20" t="str">
        <x:v>EP-06</x:v>
      </x:c>
      <x:c r="D224" s="20" t="str">
        <x:v>S6-05</x:v>
      </x:c>
      <x:c r="E224" s="20" t="str">
        <x:v>S6-05-AC04</x:v>
      </x:c>
      <x:c r="F224" s="20" t="str">
        <x:v>Phỏng vấn &amp; Đánh giá</x:v>
      </x:c>
      <x:c r="G224" s="20" t="str">
        <x:v>Liên kết chỉ dùng được cho đúng buổi phỏng vấn đó</x:v>
      </x:c>
      <x:c r="H224" s="20" t="str">
        <x:v>Negative / RBAC</x:v>
      </x:c>
      <x:c r="I224" s="20" t="str">
        <x:v>High</x:v>
      </x:c>
      <x:c r="J224" s="20" t="str">
        <x:v>Ứng viên</x:v>
      </x:c>
      <x:c r="K224" s="20" t="str">
        <x:v>Có vị trí/các ứng viên, người phỏng vấn, phòng họp và khung năng lực.</x:v>
      </x:c>
      <x:c r="L224" s="20" t="str">
        <x:v>2026-10-05 09:00–10:00 ICT; Phòng họp A; interviewee 001</x:v>
      </x:c>
      <x:c r="M224" s="20" t="str">
        <x:v>1. Chuẩn bị dữ liệu: Có vị trí/các ứng viên, người phỏng vấn, phòng họp và khung năng lực.
2. Mở cổng tuyển dụng công khai / đường dẫn gửi tới ứng viên.
3. Mở chức năng 'nhận thư mời phỏng vấn và xác nhận tham dự'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224" s="20" t="str">
        <x:v>Liên kết chỉ dùng được cho đúng buổi phỏng vấn đó</x:v>
      </x:c>
      <x:c r="O224" s="20" t="str"/>
      <x:c r="P224" s="20" t="str">
        <x:v>Chưa chạy</x:v>
      </x:c>
      <x:c r="Q224" s="20" t="str"/>
      <x:c r="R224" s="20" t="str"/>
      <x:c r="S224" s="26" t="str"/>
      <x:c r="T224" s="20" t="str">
        <x:v>Ưu tiên tự động hóa</x:v>
      </x:c>
      <x:c r="U224" s="20" t="str">
        <x:v>Nguồn: 4. Product Backlog!F70, tiêu chí 4</x:v>
      </x:c>
      <x:c r="V224" s="20" t="str">
        <x:v>S6-05</x:v>
      </x:c>
      <x:c r="W224" s="20" t="str">
        <x:v>Backlog / AC</x:v>
      </x:c>
    </x:row>
    <x:row r="225" ht="92" customHeight="1">
      <x:c r="A225" s="20" t="str">
        <x:v>TC-S6-05-X01</x:v>
      </x:c>
      <x:c r="B225" s="20" t="n">
        <x:v>6</x:v>
      </x:c>
      <x:c r="C225" s="20" t="str">
        <x:v>EP-06</x:v>
      </x:c>
      <x:c r="D225" s="20" t="str">
        <x:v>S6-05</x:v>
      </x:c>
      <x:c r="E225" s="20" t="str">
        <x:v>QA-EXTRA</x:v>
      </x:c>
      <x:c r="F225" s="20" t="str">
        <x:v>Phỏng vấn &amp; Đánh giá</x:v>
      </x:c>
      <x:c r="G225" s="20" t="str">
        <x:v>Token xác nhận lịch không dùng cho lịch khác</x:v>
      </x:c>
      <x:c r="H225" s="20" t="str">
        <x:v>Security</x:v>
      </x:c>
      <x:c r="I225" s="20" t="str">
        <x:v>High</x:v>
      </x:c>
      <x:c r="J225" s="20" t="str">
        <x:v>Ứng viên</x:v>
      </x:c>
      <x:c r="K225" s="20" t="str">
        <x:v>Có vị trí/các ứng viên, người phỏng vấn, phòng họp và khung năng lực.</x:v>
      </x:c>
      <x:c r="L225" s="20" t="str">
        <x:v>Ứng viên có hai buổi INTERVIEW-A/B</x:v>
      </x:c>
      <x:c r="M225" s="20" t="str">
        <x:v>1. Lấy link xác nhận A
2. Thay interview_id thành B
3. Gửi xác nhận</x:v>
      </x:c>
      <x:c r="N225" s="20" t="str">
        <x:v>Chỉ A được xác nhận bằng token A; B không bị thay đổi và không lộ thông tin</x:v>
      </x:c>
      <x:c r="O225" s="20" t="str"/>
      <x:c r="P225" s="20" t="str">
        <x:v>Chưa chạy</x:v>
      </x:c>
      <x:c r="Q225" s="20" t="str"/>
      <x:c r="R225" s="20" t="str"/>
      <x:c r="S225" s="26" t="str"/>
      <x:c r="T225" s="20" t="str">
        <x:v>Ưu tiên tự động hóa</x:v>
      </x:c>
      <x:c r="U225" s="20" t="str">
        <x:v>Kịch bản rủi ro/biên; nếu vượt yêu cầu backlog, xác nhận PO.</x:v>
      </x:c>
      <x:c r="V225" s="20" t="str">
        <x:v>S6-05</x:v>
      </x:c>
      <x:c r="W225" s="20" t="str">
        <x:v>Bổ sung QA</x:v>
      </x:c>
    </x:row>
    <x:row r="226" ht="92" customHeight="1">
      <x:c r="A226" s="20" t="str">
        <x:v>TC-S6-06-01</x:v>
      </x:c>
      <x:c r="B226" s="20" t="n">
        <x:v>6</x:v>
      </x:c>
      <x:c r="C226" s="20" t="str">
        <x:v>EP-06</x:v>
      </x:c>
      <x:c r="D226" s="20" t="str">
        <x:v>S6-06</x:v>
      </x:c>
      <x:c r="E226" s="20" t="str">
        <x:v>S6-06-AC01</x:v>
      </x:c>
      <x:c r="F226" s="20" t="str">
        <x:v>Phỏng vấn &amp; Đánh giá</x:v>
      </x:c>
      <x:c r="G226" s="20" t="str">
        <x:v>Đổi được ngày giờ, hình thức và danh sách người phỏng vấn</x:v>
      </x:c>
      <x:c r="H226" s="20" t="str">
        <x:v>Functional</x:v>
      </x:c>
      <x:c r="I226" s="20" t="str">
        <x:v>High</x:v>
      </x:c>
      <x:c r="J226" s="20" t="str">
        <x:v>Nhân viên tuyển dụng</x:v>
      </x:c>
      <x:c r="K226" s="20" t="str">
        <x:v>Có vị trí/các ứng viên, người phỏng vấn, phòng họp và khung năng lực.</x:v>
      </x:c>
      <x:c r="L226" s="20" t="str">
        <x:v>2026-10-05 09:00–10:00 ICT; Phòng họp A; interviewee 001</x:v>
      </x:c>
      <x:c r="M226" s="20" t="str">
        <x:v>1. Chuẩn bị dữ liệu: Có vị trí/các ứng viên, người phỏng vấn, phòng họp và khung năng lực.
2. Đăng nhập bằng tài khoản vai trò 'Nhân viên tuyển dụng' được phép thao tác.
3. Mở chức năng 'dời hoặc huỷ một buổi phỏng vấn' trên môi trường staging.
4. Tạo lịch tương lai
5. đổi ngày, link/phòng và interviewer
6. lưu rồi đối chiếu email cập nhật.
7. Ghi kết quả thực tế và đối chiếu tiêu chí S6-06-AC01.</x:v>
      </x:c>
      <x:c r="N226" s="20" t="str">
        <x:v>Đổi được ngày giờ, hình thức và danh sách người phỏng vấn</x:v>
      </x:c>
      <x:c r="O226" s="20" t="str"/>
      <x:c r="P226" s="20" t="str">
        <x:v>Chưa chạy</x:v>
      </x:c>
      <x:c r="Q226" s="20" t="str"/>
      <x:c r="R226" s="20" t="str"/>
      <x:c r="S226" s="26" t="str"/>
      <x:c r="T226" s="20" t="str">
        <x:v>Ưu tiên tự động hóa</x:v>
      </x:c>
      <x:c r="U226" s="20" t="str">
        <x:v>Nguồn: 4. Product Backlog!F71, tiêu chí 1</x:v>
      </x:c>
      <x:c r="V226" s="20" t="str">
        <x:v>S6-06</x:v>
      </x:c>
      <x:c r="W226" s="20" t="str">
        <x:v>Backlog / AC</x:v>
      </x:c>
    </x:row>
    <x:row r="227" ht="92" customHeight="1">
      <x:c r="A227" s="20" t="str">
        <x:v>TC-S6-06-02</x:v>
      </x:c>
      <x:c r="B227" s="20" t="n">
        <x:v>6</x:v>
      </x:c>
      <x:c r="C227" s="20" t="str">
        <x:v>EP-06</x:v>
      </x:c>
      <x:c r="D227" s="20" t="str">
        <x:v>S6-06</x:v>
      </x:c>
      <x:c r="E227" s="20" t="str">
        <x:v>S6-06-AC02</x:v>
      </x:c>
      <x:c r="F227" s="20" t="str">
        <x:v>Phỏng vấn &amp; Đánh giá</x:v>
      </x:c>
      <x:c r="G227" s="20" t="str">
        <x:v>Huỷ bắt buộc nhập lý do</x:v>
      </x:c>
      <x:c r="H227" s="20" t="str">
        <x:v>Functional</x:v>
      </x:c>
      <x:c r="I227" s="20" t="str">
        <x:v>High</x:v>
      </x:c>
      <x:c r="J227" s="20" t="str">
        <x:v>Nhân viên tuyển dụng</x:v>
      </x:c>
      <x:c r="K227" s="20" t="str">
        <x:v>Có vị trí/các ứng viên, người phỏng vấn, phòng họp và khung năng lực.</x:v>
      </x:c>
      <x:c r="L227" s="20" t="str">
        <x:v>2026-10-05 09:00–10:00 ICT; Phòng họp A; interviewee 001</x:v>
      </x:c>
      <x:c r="M227" s="20" t="str">
        <x:v>1. Chuẩn bị dữ liệu: Có vị trí/các ứng viên, người phỏng vấn, phòng họp và khung năng lực.
2. Đăng nhập bằng tài khoản vai trò 'Nhân viên tuyển dụng' được phép thao tác.
3. Mở chức năng 'dời hoặc huỷ một buổi phỏng vấn' trên môi trường staging.
4. Thử một bộ dữ liệu hợp lệ và một bộ thiếu/sai điều kiện bắt buộc; thực hiện Lưu/Gửi duyệt.
5. So sánh xác thực UI/API và dữ liệu được ghi.</x:v>
      </x:c>
      <x:c r="N227" s="20" t="str">
        <x:v>Huỷ bắt buộc nhập lý do</x:v>
      </x:c>
      <x:c r="O227" s="20" t="str"/>
      <x:c r="P227" s="20" t="str">
        <x:v>Chưa chạy</x:v>
      </x:c>
      <x:c r="Q227" s="20" t="str"/>
      <x:c r="R227" s="20" t="str"/>
      <x:c r="S227" s="26" t="str"/>
      <x:c r="T227" s="20" t="str">
        <x:v>Ưu tiên tự động hóa</x:v>
      </x:c>
      <x:c r="U227" s="20" t="str">
        <x:v>Nguồn: 4. Product Backlog!F71, tiêu chí 2</x:v>
      </x:c>
      <x:c r="V227" s="20" t="str">
        <x:v>S6-06</x:v>
      </x:c>
      <x:c r="W227" s="20" t="str">
        <x:v>Backlog / AC</x:v>
      </x:c>
    </x:row>
    <x:row r="228" ht="92" customHeight="1">
      <x:c r="A228" s="20" t="str">
        <x:v>TC-S6-06-03</x:v>
      </x:c>
      <x:c r="B228" s="20" t="n">
        <x:v>6</x:v>
      </x:c>
      <x:c r="C228" s="20" t="str">
        <x:v>EP-06</x:v>
      </x:c>
      <x:c r="D228" s="20" t="str">
        <x:v>S6-06</x:v>
      </x:c>
      <x:c r="E228" s="20" t="str">
        <x:v>S6-06-AC03</x:v>
      </x:c>
      <x:c r="F228" s="20" t="str">
        <x:v>Phỏng vấn &amp; Đánh giá</x:v>
      </x:c>
      <x:c r="G228" s="20" t="str">
        <x:v>Ứng viên và toàn bộ người phỏng vấn nhận được thông báo thay đổi</x:v>
      </x:c>
      <x:c r="H228" s="20" t="str">
        <x:v>Functional</x:v>
      </x:c>
      <x:c r="I228" s="20" t="str">
        <x:v>High</x:v>
      </x:c>
      <x:c r="J228" s="20" t="str">
        <x:v>Nhân viên tuyển dụng</x:v>
      </x:c>
      <x:c r="K228" s="20" t="str">
        <x:v>Có vị trí/các ứng viên, người phỏng vấn, phòng họp và khung năng lực.</x:v>
      </x:c>
      <x:c r="L228" s="20" t="str">
        <x:v>2026-10-05 09:00–10:00 ICT; Phòng họp A; interviewee 001</x:v>
      </x:c>
      <x:c r="M228" s="20" t="str">
        <x:v>1. Chuẩn bị dữ liệu: Có vị trí/các ứng viên, người phỏng vấn, phòng họp và khung năng lực.
2. Đăng nhập bằng tài khoản vai trò 'Nhân viên tuyển dụng' được phép thao tác.
3. Mở chức năng 'dời hoặc huỷ một buổi phỏng vấn' trên môi trường staging.
4. Thực hiện thao tác phát sinh email/thông báo; đọc hộp thư sandbox và thông báo trong ứng dụng.
5. Đối chiếu người nhận, nội dung, thời điểm, trạng thái và việc chống gửi trùng.</x:v>
      </x:c>
      <x:c r="N228" s="20" t="str">
        <x:v>Ứng viên và toàn bộ người phỏng vấn nhận được thông báo thay đổi</x:v>
      </x:c>
      <x:c r="O228" s="20" t="str"/>
      <x:c r="P228" s="20" t="str">
        <x:v>Chưa chạy</x:v>
      </x:c>
      <x:c r="Q228" s="20" t="str"/>
      <x:c r="R228" s="20" t="str"/>
      <x:c r="S228" s="26" t="str"/>
      <x:c r="T228" s="20" t="str">
        <x:v>Ưu tiên tự động hóa</x:v>
      </x:c>
      <x:c r="U228" s="20" t="str">
        <x:v>Nguồn: 4. Product Backlog!F71, tiêu chí 3</x:v>
      </x:c>
      <x:c r="V228" s="20" t="str">
        <x:v>S6-06</x:v>
      </x:c>
      <x:c r="W228" s="20" t="str">
        <x:v>Backlog / AC</x:v>
      </x:c>
    </x:row>
    <x:row r="229" ht="92" customHeight="1">
      <x:c r="A229" s="20" t="str">
        <x:v>TC-S6-06-04</x:v>
      </x:c>
      <x:c r="B229" s="20" t="n">
        <x:v>6</x:v>
      </x:c>
      <x:c r="C229" s="20" t="str">
        <x:v>EP-06</x:v>
      </x:c>
      <x:c r="D229" s="20" t="str">
        <x:v>S6-06</x:v>
      </x:c>
      <x:c r="E229" s="20" t="str">
        <x:v>S6-06-AC04</x:v>
      </x:c>
      <x:c r="F229" s="20" t="str">
        <x:v>Phỏng vấn &amp; Đánh giá</x:v>
      </x:c>
      <x:c r="G229" s="20" t="str">
        <x:v>Không sửa được buổi đã có phiếu đánh giá nộp</x:v>
      </x:c>
      <x:c r="H229" s="20" t="str">
        <x:v>Functional</x:v>
      </x:c>
      <x:c r="I229" s="20" t="str">
        <x:v>High</x:v>
      </x:c>
      <x:c r="J229" s="20" t="str">
        <x:v>Nhân viên tuyển dụng</x:v>
      </x:c>
      <x:c r="K229" s="20" t="str">
        <x:v>Có vị trí/các ứng viên, người phỏng vấn, phòng họp và khung năng lực.</x:v>
      </x:c>
      <x:c r="L229" s="20" t="str">
        <x:v>2026-10-05 09:00–10:00 ICT; Phòng họp A; interviewee 001</x:v>
      </x:c>
      <x:c r="M229" s="20" t="str">
        <x:v>1. Chuẩn bị dữ liệu: Có vị trí/các ứng viên, người phỏng vấn, phòng họp và khung năng lực.
2. Đăng nhập bằng tài khoản vai trò 'Nhân viên tuyển dụng' được phép thao tác.
3. Mở chức năng 'dời hoặc huỷ một buổi phỏng vấn' trên môi trường staging.
4. Interviewer nộp phiếu
5. Recruiter thử dời lịch qua UI và PATCH API
6. kiểm tra lịch không đổi.
7. Ghi kết quả thực tế và đối chiếu tiêu chí S6-06-AC04.</x:v>
      </x:c>
      <x:c r="N229" s="20" t="str">
        <x:v>Không sửa được buổi đã có phiếu đánh giá nộp</x:v>
      </x:c>
      <x:c r="O229" s="20" t="str"/>
      <x:c r="P229" s="20" t="str">
        <x:v>Chưa chạy</x:v>
      </x:c>
      <x:c r="Q229" s="20" t="str"/>
      <x:c r="R229" s="20" t="str"/>
      <x:c r="S229" s="26" t="str"/>
      <x:c r="T229" s="20" t="str">
        <x:v>Ưu tiên tự động hóa</x:v>
      </x:c>
      <x:c r="U229" s="20" t="str">
        <x:v>Nguồn: 4. Product Backlog!F71, tiêu chí 4</x:v>
      </x:c>
      <x:c r="V229" s="20" t="str">
        <x:v>S6-06</x:v>
      </x:c>
      <x:c r="W229" s="20" t="str">
        <x:v>Backlog / AC</x:v>
      </x:c>
    </x:row>
    <x:row r="230" ht="92" customHeight="1">
      <x:c r="A230" s="20" t="str">
        <x:v>TC-S6-06-X01</x:v>
      </x:c>
      <x:c r="B230" s="20" t="n">
        <x:v>6</x:v>
      </x:c>
      <x:c r="C230" s="20" t="str">
        <x:v>EP-06</x:v>
      </x:c>
      <x:c r="D230" s="20" t="str">
        <x:v>S6-06</x:v>
      </x:c>
      <x:c r="E230" s="20" t="str">
        <x:v>QA-EXTRA</x:v>
      </x:c>
      <x:c r="F230" s="20" t="str">
        <x:v>Phỏng vấn &amp; Đánh giá</x:v>
      </x:c>
      <x:c r="G230" s="20" t="str">
        <x:v>Không cho dời lịch sau khi đã nộp phiếu</x:v>
      </x:c>
      <x:c r="H230" s="20" t="str">
        <x:v>Negative</x:v>
      </x:c>
      <x:c r="I230" s="20" t="str">
        <x:v>High</x:v>
      </x:c>
      <x:c r="J230" s="20" t="str">
        <x:v>Nhân viên tuyển dụng</x:v>
      </x:c>
      <x:c r="K230" s="20" t="str">
        <x:v>Có vị trí/các ứng viên, người phỏng vấn, phòng họp và khung năng lực.</x:v>
      </x:c>
      <x:c r="L230" s="20" t="str">
        <x:v>INTERVIEW-A đã có phiếu Submitted</x:v>
      </x:c>
      <x:c r="M230" s="20" t="str">
        <x:v>1. Recruiter đổi giờ bằng UI
2. Gửi PATCH trực tiếp
3. Kiểm tra lịch và notification</x:v>
      </x:c>
      <x:c r="N230" s="20" t="str">
        <x:v>Cả hai cách bị chặn; phiếu và lịch giữ nguyên; không gửi thông báo thay đổi giả</x:v>
      </x:c>
      <x:c r="O230" s="20" t="str"/>
      <x:c r="P230" s="20" t="str">
        <x:v>Chưa chạy</x:v>
      </x:c>
      <x:c r="Q230" s="20" t="str"/>
      <x:c r="R230" s="20" t="str"/>
      <x:c r="S230" s="26" t="str"/>
      <x:c r="T230" s="20" t="str">
        <x:v>Ưu tiên tự động hóa</x:v>
      </x:c>
      <x:c r="U230" s="20" t="str">
        <x:v>Kịch bản rủi ro/biên; nếu vượt yêu cầu backlog, xác nhận PO.</x:v>
      </x:c>
      <x:c r="V230" s="20" t="str">
        <x:v>S6-06</x:v>
      </x:c>
      <x:c r="W230" s="20" t="str">
        <x:v>Bổ sung QA</x:v>
      </x:c>
    </x:row>
    <x:row r="231" ht="92" customHeight="1">
      <x:c r="A231" s="20" t="str">
        <x:v>TC-S6-07-01</x:v>
      </x:c>
      <x:c r="B231" s="20" t="n">
        <x:v>6</x:v>
      </x:c>
      <x:c r="C231" s="20" t="str">
        <x:v>EP-06</x:v>
      </x:c>
      <x:c r="D231" s="20" t="str">
        <x:v>S6-07</x:v>
      </x:c>
      <x:c r="E231" s="20" t="str">
        <x:v>S6-07-AC01</x:v>
      </x:c>
      <x:c r="F231" s="20" t="str">
        <x:v>Phỏng vấn &amp; Đánh giá</x:v>
      </x:c>
      <x:c r="G231" s="20" t="str">
        <x:v>Phiếu gồm đúng các tiêu chí và trọng số đã khai báo ở khung năng lực</x:v>
      </x:c>
      <x:c r="H231" s="20" t="str">
        <x:v>Functional</x:v>
      </x:c>
      <x:c r="I231" s="20" t="str">
        <x:v>Critical</x:v>
      </x:c>
      <x:c r="J231" s="20" t="str">
        <x:v>Trưởng phòng Nhân sự</x:v>
      </x:c>
      <x:c r="K231" s="20" t="str">
        <x:v>Có vị trí/các ứng viên, người phỏng vấn, phòng họp và khung năng lực.</x:v>
      </x:c>
      <x:c r="L231" s="20" t="str">
        <x:v>2026-10-05 09:00–10:00 ICT; Phòng họp A; interviewee 001</x:v>
      </x:c>
      <x:c r="M231" s="20" t="str">
        <x:v>1. Chuẩn bị dữ liệu: Có vị trí/các ứng viên, người phỏng vấn, phòng họp và khung năng lực.
2. Đăng nhập bằng tài khoản vai trò 'Trưởng phòng Nhân sự' được phép thao tác.
3. Mở chức năng 'có phiếu đánh giá sinh tự động theo khung năng lực của chức danh' trên môi trường staging.
4. Tạo khung năng lực tiêu chí K1 trọng số 60 và K2 trọng số 40
5. sinh phiếu, kiểm tra tiêu chí và trọng số.
6. Ghi kết quả thực tế và đối chiếu tiêu chí S6-07-AC01.</x:v>
      </x:c>
      <x:c r="N231" s="20" t="str">
        <x:v>Phiếu gồm đúng các tiêu chí và trọng số đã khai báo ở khung năng lực</x:v>
      </x:c>
      <x:c r="O231" s="20" t="str"/>
      <x:c r="P231" s="20" t="str">
        <x:v>Chưa chạy</x:v>
      </x:c>
      <x:c r="Q231" s="20" t="str"/>
      <x:c r="R231" s="20" t="str"/>
      <x:c r="S231" s="26" t="str"/>
      <x:c r="T231" s="20" t="str">
        <x:v>Ưu tiên tự động hóa</x:v>
      </x:c>
      <x:c r="U231" s="20" t="str">
        <x:v>Nguồn: 4. Product Backlog!F72, tiêu chí 1</x:v>
      </x:c>
      <x:c r="V231" s="20" t="str">
        <x:v>S6-07</x:v>
      </x:c>
      <x:c r="W231" s="20" t="str">
        <x:v>Backlog / AC</x:v>
      </x:c>
    </x:row>
    <x:row r="232" ht="92" customHeight="1">
      <x:c r="A232" s="20" t="str">
        <x:v>TC-S6-07-02</x:v>
      </x:c>
      <x:c r="B232" s="20" t="n">
        <x:v>6</x:v>
      </x:c>
      <x:c r="C232" s="20" t="str">
        <x:v>EP-06</x:v>
      </x:c>
      <x:c r="D232" s="20" t="str">
        <x:v>S6-07</x:v>
      </x:c>
      <x:c r="E232" s="20" t="str">
        <x:v>S6-07-AC02</x:v>
      </x:c>
      <x:c r="F232" s="20" t="str">
        <x:v>Phỏng vấn &amp; Đánh giá</x:v>
      </x:c>
      <x:c r="G232" s="20" t="str">
        <x:v>Mỗi tiêu chí chấm theo thang 1–5 kèm ô nhận xét</x:v>
      </x:c>
      <x:c r="H232" s="20" t="str">
        <x:v>Functional</x:v>
      </x:c>
      <x:c r="I232" s="20" t="str">
        <x:v>Critical</x:v>
      </x:c>
      <x:c r="J232" s="20" t="str">
        <x:v>Trưởng phòng Nhân sự</x:v>
      </x:c>
      <x:c r="K232" s="20" t="str">
        <x:v>Có vị trí/các ứng viên, người phỏng vấn, phòng họp và khung năng lực.</x:v>
      </x:c>
      <x:c r="L232" s="20" t="str">
        <x:v>2026-10-05 09:00–10:00 ICT; Phòng họp A; interviewee 001</x:v>
      </x:c>
      <x:c r="M232" s="20" t="str">
        <x:v>1. Chuẩn bị dữ liệu: Có vị trí/các ứng viên, người phỏng vấn, phòng họp và khung năng lực.
2. Đăng nhập bằng tài khoản vai trò 'Trưởng phòng Nhân sự' được phép thao tác.
3. Mở chức năng 'có phiếu đánh giá sinh tự động theo khung năng lực của chức danh' trên môi trường staging.
4. Điền điểm 1 và 5 ở các tiêu chí, nhập nhận xét
5. thử nộp khi bỏ trống trường bắt buộc.
6. Ghi kết quả thực tế và đối chiếu tiêu chí S6-07-AC02.</x:v>
      </x:c>
      <x:c r="N232" s="20" t="str">
        <x:v>Mỗi tiêu chí chấm theo thang 1–5 kèm ô nhận xét</x:v>
      </x:c>
      <x:c r="O232" s="20" t="str"/>
      <x:c r="P232" s="20" t="str">
        <x:v>Chưa chạy</x:v>
      </x:c>
      <x:c r="Q232" s="20" t="str"/>
      <x:c r="R232" s="20" t="str"/>
      <x:c r="S232" s="26" t="str"/>
      <x:c r="T232" s="20" t="str">
        <x:v>Ưu tiên tự động hóa</x:v>
      </x:c>
      <x:c r="U232" s="20" t="str">
        <x:v>Nguồn: 4. Product Backlog!F72, tiêu chí 2</x:v>
      </x:c>
      <x:c r="V232" s="20" t="str">
        <x:v>S6-07</x:v>
      </x:c>
      <x:c r="W232" s="20" t="str">
        <x:v>Backlog / AC</x:v>
      </x:c>
    </x:row>
    <x:row r="233" ht="92" customHeight="1">
      <x:c r="A233" s="20" t="str">
        <x:v>TC-S6-07-03</x:v>
      </x:c>
      <x:c r="B233" s="20" t="n">
        <x:v>6</x:v>
      </x:c>
      <x:c r="C233" s="20" t="str">
        <x:v>EP-06</x:v>
      </x:c>
      <x:c r="D233" s="20" t="str">
        <x:v>S6-07</x:v>
      </x:c>
      <x:c r="E233" s="20" t="str">
        <x:v>S6-07-AC03</x:v>
      </x:c>
      <x:c r="F233" s="20" t="str">
        <x:v>Phỏng vấn &amp; Đánh giá</x:v>
      </x:c>
      <x:c r="G233" s="20" t="str">
        <x:v>Điểm tổng tính tự động theo trọng số</x:v>
      </x:c>
      <x:c r="H233" s="20" t="str">
        <x:v>Functional</x:v>
      </x:c>
      <x:c r="I233" s="20" t="str">
        <x:v>Critical</x:v>
      </x:c>
      <x:c r="J233" s="20" t="str">
        <x:v>Trưởng phòng Nhân sự</x:v>
      </x:c>
      <x:c r="K233" s="20" t="str">
        <x:v>Có vị trí/các ứng viên, người phỏng vấn, phòng họp và khung năng lực.</x:v>
      </x:c>
      <x:c r="L233" s="20" t="str">
        <x:v>2026-10-05 09:00–10:00 ICT; Phòng họp A; interviewee 001</x:v>
      </x:c>
      <x:c r="M233" s="20" t="str">
        <x:v>1. Chuẩn bị dữ liệu: Có vị trí/các ứng viên, người phỏng vấn, phòng họp và khung năng lực.
2. Đăng nhập bằng tài khoản vai trò 'Trưởng phòng Nhân sự' được phép thao tác.
3. Mở chức năng 'có phiếu đánh giá sinh tự động theo khung năng lực của chức danh' trên môi trường staging.
4. Chấm K1=5 trọng số 60%, K2=3 trọng số 40%
5. tính tay tổng 4,2 và đối chiếu UI/API.
6. Ghi kết quả thực tế và đối chiếu tiêu chí S6-07-AC03.</x:v>
      </x:c>
      <x:c r="N233" s="20" t="str">
        <x:v>Điểm tổng tính tự động theo trọng số</x:v>
      </x:c>
      <x:c r="O233" s="20" t="str"/>
      <x:c r="P233" s="20" t="str">
        <x:v>Chưa chạy</x:v>
      </x:c>
      <x:c r="Q233" s="20" t="str"/>
      <x:c r="R233" s="20" t="str"/>
      <x:c r="S233" s="26" t="str"/>
      <x:c r="T233" s="20" t="str">
        <x:v>Ưu tiên tự động hóa</x:v>
      </x:c>
      <x:c r="U233" s="20" t="str">
        <x:v>Nguồn: 4. Product Backlog!F72, tiêu chí 3</x:v>
      </x:c>
      <x:c r="V233" s="20" t="str">
        <x:v>S6-07</x:v>
      </x:c>
      <x:c r="W233" s="20" t="str">
        <x:v>Backlog / AC</x:v>
      </x:c>
    </x:row>
    <x:row r="234" ht="92" customHeight="1">
      <x:c r="A234" s="20" t="str">
        <x:v>TC-S6-07-04</x:v>
      </x:c>
      <x:c r="B234" s="20" t="n">
        <x:v>6</x:v>
      </x:c>
      <x:c r="C234" s="20" t="str">
        <x:v>EP-06</x:v>
      </x:c>
      <x:c r="D234" s="20" t="str">
        <x:v>S6-07</x:v>
      </x:c>
      <x:c r="E234" s="20" t="str">
        <x:v>S6-07-AC04</x:v>
      </x:c>
      <x:c r="F234" s="20" t="str">
        <x:v>Phỏng vấn &amp; Đánh giá</x:v>
      </x:c>
      <x:c r="G234" s="20" t="str">
        <x:v>Khung năng lực thay đổi không làm hỏng các phiếu đã nộp trước đó</x:v>
      </x:c>
      <x:c r="H234" s="20" t="str">
        <x:v>Functional</x:v>
      </x:c>
      <x:c r="I234" s="20" t="str">
        <x:v>Critical</x:v>
      </x:c>
      <x:c r="J234" s="20" t="str">
        <x:v>Trưởng phòng Nhân sự</x:v>
      </x:c>
      <x:c r="K234" s="20" t="str">
        <x:v>Có vị trí/các ứng viên, người phỏng vấn, phòng họp và khung năng lực.</x:v>
      </x:c>
      <x:c r="L234" s="20" t="str">
        <x:v>2026-10-05 09:00–10:00 ICT; Phòng họp A; interviewee 001</x:v>
      </x:c>
      <x:c r="M234" s="20" t="str">
        <x:v>1. Chuẩn bị dữ liệu: Có vị trí/các ứng viên, người phỏng vấn, phòng họp và khung năng lực.
2. Đăng nhập bằng tài khoản vai trò 'Trưởng phòng Nhân sự' được phép thao tác.
3. Mở chức năng 'có phiếu đánh giá sinh tự động theo khung năng lực của chức danh' trên môi trường staging.
4. Nộp phiếu khung 60/40
5. HR thay thành 50/50
6. đọc phiếu cũ và sinh phiếu mới để so sánh.
7. Ghi kết quả thực tế và đối chiếu tiêu chí S6-07-AC04.</x:v>
      </x:c>
      <x:c r="N234" s="20" t="str">
        <x:v>Khung năng lực thay đổi không làm hỏng các phiếu đã nộp trước đó</x:v>
      </x:c>
      <x:c r="O234" s="20" t="str"/>
      <x:c r="P234" s="20" t="str">
        <x:v>Chưa chạy</x:v>
      </x:c>
      <x:c r="Q234" s="20" t="str"/>
      <x:c r="R234" s="20" t="str"/>
      <x:c r="S234" s="26" t="str"/>
      <x:c r="T234" s="20" t="str">
        <x:v>Ưu tiên tự động hóa</x:v>
      </x:c>
      <x:c r="U234" s="20" t="str">
        <x:v>Nguồn: 4. Product Backlog!F72, tiêu chí 4</x:v>
      </x:c>
      <x:c r="V234" s="20" t="str">
        <x:v>S6-07</x:v>
      </x:c>
      <x:c r="W234" s="20" t="str">
        <x:v>Backlog / AC</x:v>
      </x:c>
    </x:row>
    <x:row r="235" ht="92" customHeight="1">
      <x:c r="A235" s="20" t="str">
        <x:v>TC-S6-07-X01</x:v>
      </x:c>
      <x:c r="B235" s="20" t="n">
        <x:v>6</x:v>
      </x:c>
      <x:c r="C235" s="20" t="str">
        <x:v>EP-06</x:v>
      </x:c>
      <x:c r="D235" s="20" t="str">
        <x:v>S6-07</x:v>
      </x:c>
      <x:c r="E235" s="20" t="str">
        <x:v>QA-EXTRA</x:v>
      </x:c>
      <x:c r="F235" s="20" t="str">
        <x:v>Phỏng vấn &amp; Đánh giá</x:v>
      </x:c>
      <x:c r="G235" s="20" t="str">
        <x:v>Phiếu cũ giữ nguyên tiêu chí khi cập nhật khung năng lực</x:v>
      </x:c>
      <x:c r="H235" s="20" t="str">
        <x:v>Data integrity</x:v>
      </x:c>
      <x:c r="I235" s="20" t="str">
        <x:v>Critical</x:v>
      </x:c>
      <x:c r="J235" s="20" t="str">
        <x:v>Trưởng phòng Nhân sự</x:v>
      </x:c>
      <x:c r="K235" s="20" t="str">
        <x:v>Có vị trí/các ứng viên, người phỏng vấn, phòng họp và khung năng lực.</x:v>
      </x:c>
      <x:c r="L235" s="20" t="str">
        <x:v>Phiếu A nộp theo bộ trọng số 60/40</x:v>
      </x:c>
      <x:c r="M235" s="20" t="str">
        <x:v>1. Nộp phiếu A
2. HR đổi trọng số thành 50/50
3. Mở phiếu A và tạo phiếu B</x:v>
      </x:c>
      <x:c r="N235" s="20" t="str">
        <x:v>Phiếu A giữ 60/40 và điểm cũ; phiếu B dùng 50/50, không thay đổi lịch sử</x:v>
      </x:c>
      <x:c r="O235" s="20" t="str"/>
      <x:c r="P235" s="20" t="str">
        <x:v>Chưa chạy</x:v>
      </x:c>
      <x:c r="Q235" s="20" t="str"/>
      <x:c r="R235" s="20" t="str"/>
      <x:c r="S235" s="26" t="str"/>
      <x:c r="T235" s="20" t="str">
        <x:v>Ưu tiên tự động hóa</x:v>
      </x:c>
      <x:c r="U235" s="20" t="str">
        <x:v>Kịch bản rủi ro/biên; nếu vượt yêu cầu backlog, xác nhận PO.</x:v>
      </x:c>
      <x:c r="V235" s="20" t="str">
        <x:v>S6-07</x:v>
      </x:c>
      <x:c r="W235" s="20" t="str">
        <x:v>Bổ sung QA</x:v>
      </x:c>
    </x:row>
    <x:row r="236" ht="92" customHeight="1">
      <x:c r="A236" s="20" t="str">
        <x:v>TC-S6-08-01</x:v>
      </x:c>
      <x:c r="B236" s="20" t="n">
        <x:v>6</x:v>
      </x:c>
      <x:c r="C236" s="20" t="str">
        <x:v>EP-06</x:v>
      </x:c>
      <x:c r="D236" s="20" t="str">
        <x:v>S6-08</x:v>
      </x:c>
      <x:c r="E236" s="20" t="str">
        <x:v>S6-08-AC01</x:v>
      </x:c>
      <x:c r="F236" s="20" t="str">
        <x:v>Phỏng vấn &amp; Đánh giá</x:v>
      </x:c>
      <x:c r="G236" s="20" t="str">
        <x:v>Chỉ người phỏng vấn được mời mới mở được phiếu của buổi đó</x:v>
      </x:c>
      <x:c r="H236" s="20" t="str">
        <x:v>Negative / RBAC</x:v>
      </x:c>
      <x:c r="I236" s="20" t="str">
        <x:v>Critical</x:v>
      </x:c>
      <x:c r="J236" s="20" t="str">
        <x:v>Người phỏng vấn</x:v>
      </x:c>
      <x:c r="K236" s="20" t="str">
        <x:v>Có vị trí/các ứng viên, người phỏng vấn, phòng họp và khung năng lực.</x:v>
      </x:c>
      <x:c r="L236" s="20" t="str">
        <x:v>2026-10-05 09:00–10:00 ICT; Phòng họp A; interviewee 001</x:v>
      </x:c>
      <x:c r="M236" s="20" t="str">
        <x:v>1. Chuẩn bị dữ liệu: Có vị trí/các ứng viên, người phỏng vấn, phòng họp và khung năng lực.
2. Đăng nhập bằng tài khoản vai trò 'Người phỏng vấn' được phép thao tác.
3. Mở chức năng 'nộp phiếu đánh giá sau buổi phỏng vấn'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236" s="20" t="str">
        <x:v>Chỉ người phỏng vấn được mời mới mở được phiếu của buổi đó</x:v>
      </x:c>
      <x:c r="O236" s="20" t="str"/>
      <x:c r="P236" s="20" t="str">
        <x:v>Chưa chạy</x:v>
      </x:c>
      <x:c r="Q236" s="20" t="str"/>
      <x:c r="R236" s="20" t="str"/>
      <x:c r="S236" s="26" t="str"/>
      <x:c r="T236" s="20" t="str">
        <x:v>Ưu tiên tự động hóa</x:v>
      </x:c>
      <x:c r="U236" s="20" t="str">
        <x:v>Nguồn: 4. Product Backlog!F73, tiêu chí 1</x:v>
      </x:c>
      <x:c r="V236" s="20" t="str">
        <x:v>S6-08</x:v>
      </x:c>
      <x:c r="W236" s="20" t="str">
        <x:v>Backlog / AC</x:v>
      </x:c>
    </x:row>
    <x:row r="237" ht="92" customHeight="1">
      <x:c r="A237" s="20" t="str">
        <x:v>TC-S6-08-02</x:v>
      </x:c>
      <x:c r="B237" s="20" t="n">
        <x:v>6</x:v>
      </x:c>
      <x:c r="C237" s="20" t="str">
        <x:v>EP-06</x:v>
      </x:c>
      <x:c r="D237" s="20" t="str">
        <x:v>S6-08</x:v>
      </x:c>
      <x:c r="E237" s="20" t="str">
        <x:v>S6-08-AC02</x:v>
      </x:c>
      <x:c r="F237" s="20" t="str">
        <x:v>Phỏng vấn &amp; Đánh giá</x:v>
      </x:c>
      <x:c r="G237" s="20" t="str">
        <x:v>Bắt buộc chọn kết luận: Nên tuyển, Cân nhắc, Không nên tuyển</x:v>
      </x:c>
      <x:c r="H237" s="20" t="str">
        <x:v>Functional</x:v>
      </x:c>
      <x:c r="I237" s="20" t="str">
        <x:v>Critical</x:v>
      </x:c>
      <x:c r="J237" s="20" t="str">
        <x:v>Người phỏng vấn</x:v>
      </x:c>
      <x:c r="K237" s="20" t="str">
        <x:v>Có vị trí/các ứng viên, người phỏng vấn, phòng họp và khung năng lực.</x:v>
      </x:c>
      <x:c r="L237" s="20" t="str">
        <x:v>2026-10-05 09:00–10:00 ICT; Phòng họp A; interviewee 001</x:v>
      </x:c>
      <x:c r="M237" s="20" t="str">
        <x:v>1. Chuẩn bị dữ liệu: Có vị trí/các ứng viên, người phỏng vấn, phòng họp và khung năng lực.
2. Đăng nhập bằng tài khoản vai trò 'Người phỏng vấn' được phép thao tác.
3. Mở chức năng 'nộp phiếu đánh giá sau buổi phỏng vấn' trên môi trường staging.
4. Thử một bộ dữ liệu hợp lệ và một bộ thiếu/sai điều kiện bắt buộc; thực hiện Lưu/Gửi duyệt.
5. So sánh xác thực UI/API và dữ liệu được ghi.</x:v>
      </x:c>
      <x:c r="N237" s="20" t="str">
        <x:v>Bắt buộc chọn kết luận: Nên tuyển, Cân nhắc, Không nên tuyển</x:v>
      </x:c>
      <x:c r="O237" s="20" t="str"/>
      <x:c r="P237" s="20" t="str">
        <x:v>Chưa chạy</x:v>
      </x:c>
      <x:c r="Q237" s="20" t="str"/>
      <x:c r="R237" s="20" t="str"/>
      <x:c r="S237" s="26" t="str"/>
      <x:c r="T237" s="20" t="str">
        <x:v>Ưu tiên tự động hóa</x:v>
      </x:c>
      <x:c r="U237" s="20" t="str">
        <x:v>Nguồn: 4. Product Backlog!F73, tiêu chí 2</x:v>
      </x:c>
      <x:c r="V237" s="20" t="str">
        <x:v>S6-08</x:v>
      </x:c>
      <x:c r="W237" s="20" t="str">
        <x:v>Backlog / AC</x:v>
      </x:c>
    </x:row>
    <x:row r="238" ht="92" customHeight="1">
      <x:c r="A238" s="20" t="str">
        <x:v>TC-S6-08-03</x:v>
      </x:c>
      <x:c r="B238" s="20" t="n">
        <x:v>6</x:v>
      </x:c>
      <x:c r="C238" s="20" t="str">
        <x:v>EP-06</x:v>
      </x:c>
      <x:c r="D238" s="20" t="str">
        <x:v>S6-08</x:v>
      </x:c>
      <x:c r="E238" s="20" t="str">
        <x:v>S6-08-AC03</x:v>
      </x:c>
      <x:c r="F238" s="20" t="str">
        <x:v>Phỏng vấn &amp; Đánh giá</x:v>
      </x:c>
      <x:c r="G238" s="20" t="str">
        <x:v>Đã nộp thì không sửa được, trừ khi recruiter mở lại trong 24 giờ</x:v>
      </x:c>
      <x:c r="H238" s="20" t="str">
        <x:v>Boundary</x:v>
      </x:c>
      <x:c r="I238" s="20" t="str">
        <x:v>Critical</x:v>
      </x:c>
      <x:c r="J238" s="20" t="str">
        <x:v>Người phỏng vấn</x:v>
      </x:c>
      <x:c r="K238" s="20" t="str">
        <x:v>Có vị trí/các ứng viên, người phỏng vấn, phòng họp và khung năng lực.</x:v>
      </x:c>
      <x:c r="L238" s="20" t="str">
        <x:v>2026-10-05 09:00–10:00 ICT; Phòng họp A; interviewee 001</x:v>
      </x:c>
      <x:c r="M238" s="20" t="str">
        <x:v>1. Chuẩn bị dữ liệu: Có vị trí/các ứng viên, người phỏng vấn, phòng họp và khung năng lực.
2. Đăng nhập bằng tài khoản vai trò 'Người phỏng vấn' được phép thao tác.
3. Mở chức năng 'nộp phiếu đánh giá sau buổi phỏng vấn' trên môi trường staging.
4. Nộp phiếu, thử sửa trực tiếp
5. Recruiter mở lại trong 24h
6. sửa và nộp
7. thử mở sau 24h.
8. Ghi kết quả thực tế và đối chiếu tiêu chí S6-08-AC03.</x:v>
      </x:c>
      <x:c r="N238" s="20" t="str">
        <x:v>Đã nộp thì không sửa được, trừ khi recruiter mở lại trong 24 giờ</x:v>
      </x:c>
      <x:c r="O238" s="20" t="str"/>
      <x:c r="P238" s="20" t="str">
        <x:v>Chưa chạy</x:v>
      </x:c>
      <x:c r="Q238" s="20" t="str"/>
      <x:c r="R238" s="20" t="str"/>
      <x:c r="S238" s="26" t="str"/>
      <x:c r="T238" s="20" t="str">
        <x:v>Ưu tiên tự động hóa</x:v>
      </x:c>
      <x:c r="U238" s="20" t="str">
        <x:v>Nguồn: 4. Product Backlog!F73, tiêu chí 3</x:v>
      </x:c>
      <x:c r="V238" s="20" t="str">
        <x:v>S6-08</x:v>
      </x:c>
      <x:c r="W238" s="20" t="str">
        <x:v>Backlog / AC</x:v>
      </x:c>
    </x:row>
    <x:row r="239" ht="92" customHeight="1">
      <x:c r="A239" s="20" t="str">
        <x:v>TC-S6-08-04</x:v>
      </x:c>
      <x:c r="B239" s="20" t="n">
        <x:v>6</x:v>
      </x:c>
      <x:c r="C239" s="20" t="str">
        <x:v>EP-06</x:v>
      </x:c>
      <x:c r="D239" s="20" t="str">
        <x:v>S6-08</x:v>
      </x:c>
      <x:c r="E239" s="20" t="str">
        <x:v>S6-08-AC04</x:v>
      </x:c>
      <x:c r="F239" s="20" t="str">
        <x:v>Phỏng vấn &amp; Đánh giá</x:v>
      </x:c>
      <x:c r="G239" s="20" t="str">
        <x:v>Không nhìn thấy đánh giá của người khác trước khi nộp phiếu của mình</x:v>
      </x:c>
      <x:c r="H239" s="20" t="str">
        <x:v>Negative / RBAC</x:v>
      </x:c>
      <x:c r="I239" s="20" t="str">
        <x:v>Critical</x:v>
      </x:c>
      <x:c r="J239" s="20" t="str">
        <x:v>Người phỏng vấn</x:v>
      </x:c>
      <x:c r="K239" s="20" t="str">
        <x:v>Có vị trí/các ứng viên, người phỏng vấn, phòng họp và khung năng lực.</x:v>
      </x:c>
      <x:c r="L239" s="20" t="str">
        <x:v>2026-10-05 09:00–10:00 ICT; Phòng họp A; interviewee 001</x:v>
      </x:c>
      <x:c r="M239" s="20" t="str">
        <x:v>1. Chuẩn bị dữ liệu: Có vị trí/các ứng viên, người phỏng vấn, phòng họp và khung năng lực.
2. Đăng nhập bằng tài khoản vai trò 'Người phỏng vấn' được phép thao tác.
3. Mở chức năng 'nộp phiếu đánh giá sau buổi phỏng vấn'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239" s="20" t="str">
        <x:v>Không nhìn thấy đánh giá của người khác trước khi nộp phiếu của mình</x:v>
      </x:c>
      <x:c r="O239" s="20" t="str"/>
      <x:c r="P239" s="20" t="str">
        <x:v>Chưa chạy</x:v>
      </x:c>
      <x:c r="Q239" s="20" t="str"/>
      <x:c r="R239" s="20" t="str"/>
      <x:c r="S239" s="26" t="str"/>
      <x:c r="T239" s="20" t="str">
        <x:v>Ưu tiên tự động hóa</x:v>
      </x:c>
      <x:c r="U239" s="20" t="str">
        <x:v>Nguồn: 4. Product Backlog!F73, tiêu chí 4</x:v>
      </x:c>
      <x:c r="V239" s="20" t="str">
        <x:v>S6-08</x:v>
      </x:c>
      <x:c r="W239" s="20" t="str">
        <x:v>Backlog / AC</x:v>
      </x:c>
    </x:row>
    <x:row r="240" ht="92" customHeight="1">
      <x:c r="A240" s="20" t="str">
        <x:v>TC-S6-08-X01</x:v>
      </x:c>
      <x:c r="B240" s="20" t="n">
        <x:v>6</x:v>
      </x:c>
      <x:c r="C240" s="20" t="str">
        <x:v>EP-06</x:v>
      </x:c>
      <x:c r="D240" s="20" t="str">
        <x:v>S6-08</x:v>
      </x:c>
      <x:c r="E240" s="20" t="str">
        <x:v>QA-EXTRA</x:v>
      </x:c>
      <x:c r="F240" s="20" t="str">
        <x:v>Phỏng vấn &amp; Đánh giá</x:v>
      </x:c>
      <x:c r="G240" s="20" t="str">
        <x:v>Interviewer không xem kết quả đồng nghiệp trước khi nộp</x:v>
      </x:c>
      <x:c r="H240" s="20" t="str">
        <x:v>Security / RBAC</x:v>
      </x:c>
      <x:c r="I240" s="20" t="str">
        <x:v>Critical</x:v>
      </x:c>
      <x:c r="J240" s="20" t="str">
        <x:v>Người phỏng vấn</x:v>
      </x:c>
      <x:c r="K240" s="20" t="str">
        <x:v>Có vị trí/các ứng viên, người phỏng vấn, phòng họp và khung năng lực.</x:v>
      </x:c>
      <x:c r="L240" s="20" t="str">
        <x:v>Interviewer A và B cùng buổi, A đã nộp, B chưa nộp</x:v>
      </x:c>
      <x:c r="M240" s="20" t="str">
        <x:v>1. B mở đánh giá của A bằng UI/API
2. B nộp phiếu
3. Mở lại trang</x:v>
      </x:c>
      <x:c r="N240" s="20" t="str">
        <x:v>Trước khi nộp B không thấy điểm A; sau khi nộp hiển thị theo ma trận quyền đã xác nhận</x:v>
      </x:c>
      <x:c r="O240" s="20" t="str"/>
      <x:c r="P240" s="20" t="str">
        <x:v>Chưa chạy</x:v>
      </x:c>
      <x:c r="Q240" s="20" t="str"/>
      <x:c r="R240" s="20" t="str"/>
      <x:c r="S240" s="26" t="str"/>
      <x:c r="T240" s="20" t="str">
        <x:v>Ưu tiên tự động hóa</x:v>
      </x:c>
      <x:c r="U240" s="20" t="str">
        <x:v>Kịch bản rủi ro/biên; nếu vượt yêu cầu backlog, xác nhận PO.</x:v>
      </x:c>
      <x:c r="V240" s="20" t="str">
        <x:v>S6-08</x:v>
      </x:c>
      <x:c r="W240" s="20" t="str">
        <x:v>Bổ sung QA</x:v>
      </x:c>
    </x:row>
    <x:row r="241" ht="92" customHeight="1">
      <x:c r="A241" s="20" t="str">
        <x:v>TC-S6-09-01</x:v>
      </x:c>
      <x:c r="B241" s="20" t="n">
        <x:v>6</x:v>
      </x:c>
      <x:c r="C241" s="20" t="str">
        <x:v>EP-06</x:v>
      </x:c>
      <x:c r="D241" s="20" t="str">
        <x:v>S6-09</x:v>
      </x:c>
      <x:c r="E241" s="20" t="str">
        <x:v>S6-09-AC01</x:v>
      </x:c>
      <x:c r="F241" s="20" t="str">
        <x:v>Phỏng vấn &amp; Đánh giá</x:v>
      </x:c>
      <x:c r="G241" s="20" t="str">
        <x:v>Bảng so sánh hiển thị điểm từng tiêu chí của các ứng viên vào vòng cuối</x:v>
      </x:c>
      <x:c r="H241" s="20" t="str">
        <x:v>Functional</x:v>
      </x:c>
      <x:c r="I241" s="20" t="str">
        <x:v>Medium</x:v>
      </x:c>
      <x:c r="J241" s="20" t="str">
        <x:v>Trưởng bộ phận</x:v>
      </x:c>
      <x:c r="K241" s="20" t="str">
        <x:v>Có vị trí/các ứng viên, người phỏng vấn, phòng họp và khung năng lực.</x:v>
      </x:c>
      <x:c r="L241" s="20" t="str">
        <x:v>2026-10-05 09:00–10:00 ICT; Phòng họp A; interviewee 001</x:v>
      </x:c>
      <x:c r="M241" s="20" t="str">
        <x:v>1. Chuẩn bị dữ liệu: Có vị trí/các ứng viên, người phỏng vấn, phòng họp và khung năng lực.
2. Đăng nhập bằng tài khoản vai trò 'Trưởng bộ phận' được phép thao tác.
3. Mở chức năng 'so sánh các ứng viên của cùng một vị trí theo điểm đánh giá' trên môi trường staging.
4. Tạo hai ứng viên vòng cuối, mỗi người có phiếu đã nộp
5. mở bảng so sánh và đối chiếu điểm từng tiêu chí.
6. Ghi kết quả thực tế và đối chiếu tiêu chí S6-09-AC01.</x:v>
      </x:c>
      <x:c r="N241" s="20" t="str">
        <x:v>Bảng so sánh hiển thị điểm từng tiêu chí của các ứng viên vào vòng cuối</x:v>
      </x:c>
      <x:c r="O241" s="20" t="str"/>
      <x:c r="P241" s="20" t="str">
        <x:v>Chưa chạy</x:v>
      </x:c>
      <x:c r="Q241" s="20" t="str"/>
      <x:c r="R241" s="20" t="str"/>
      <x:c r="S241" s="26" t="str"/>
      <x:c r="T241" s="20" t="str">
        <x:v>Cân nhắc</x:v>
      </x:c>
      <x:c r="U241" s="20" t="str">
        <x:v>Nguồn: 4. Product Backlog!F74, tiêu chí 1</x:v>
      </x:c>
      <x:c r="V241" s="20" t="str">
        <x:v>S6-09</x:v>
      </x:c>
      <x:c r="W241" s="20" t="str">
        <x:v>Backlog / AC</x:v>
      </x:c>
    </x:row>
    <x:row r="242" ht="92" customHeight="1">
      <x:c r="A242" s="20" t="str">
        <x:v>TC-S6-09-02</x:v>
      </x:c>
      <x:c r="B242" s="20" t="n">
        <x:v>6</x:v>
      </x:c>
      <x:c r="C242" s="20" t="str">
        <x:v>EP-06</x:v>
      </x:c>
      <x:c r="D242" s="20" t="str">
        <x:v>S6-09</x:v>
      </x:c>
      <x:c r="E242" s="20" t="str">
        <x:v>S6-09-AC02</x:v>
      </x:c>
      <x:c r="F242" s="20" t="str">
        <x:v>Phỏng vấn &amp; Đánh giá</x:v>
      </x:c>
      <x:c r="G242" s="20" t="str">
        <x:v>Sắp xếp theo điểm tổng</x:v>
      </x:c>
      <x:c r="H242" s="20" t="str">
        <x:v>Functional</x:v>
      </x:c>
      <x:c r="I242" s="20" t="str">
        <x:v>Medium</x:v>
      </x:c>
      <x:c r="J242" s="20" t="str">
        <x:v>Trưởng bộ phận</x:v>
      </x:c>
      <x:c r="K242" s="20" t="str">
        <x:v>Có vị trí/các ứng viên, người phỏng vấn, phòng họp và khung năng lực.</x:v>
      </x:c>
      <x:c r="L242" s="20" t="str">
        <x:v>2026-10-05 09:00–10:00 ICT; Phòng họp A; interviewee 001</x:v>
      </x:c>
      <x:c r="M242" s="20" t="str">
        <x:v>1. Chuẩn bị dữ liệu: Có vị trí/các ứng viên, người phỏng vấn, phòng họp và khung năng lực.
2. Đăng nhập bằng tài khoản vai trò 'Trưởng bộ phận' được phép thao tác.
3. Mở chức năng 'so sánh các ứng viên của cùng một vị trí theo điểm đánh giá' trên môi trường staging.
4. Tạo dữ liệu đối chứng thuộc và không thuộc điều kiện; áp dụng bộ lọc/tìm kiếm/sắp xếp tương ứng.
5. Đối chiếu danh sách/kết quả tổng hợp với dữ liệu gốc.</x:v>
      </x:c>
      <x:c r="N242" s="20" t="str">
        <x:v>Sắp xếp theo điểm tổng</x:v>
      </x:c>
      <x:c r="O242" s="20" t="str"/>
      <x:c r="P242" s="20" t="str">
        <x:v>Chưa chạy</x:v>
      </x:c>
      <x:c r="Q242" s="20" t="str"/>
      <x:c r="R242" s="20" t="str"/>
      <x:c r="S242" s="26" t="str"/>
      <x:c r="T242" s="20" t="str">
        <x:v>Cân nhắc</x:v>
      </x:c>
      <x:c r="U242" s="20" t="str">
        <x:v>Nguồn: 4. Product Backlog!F74, tiêu chí 2</x:v>
      </x:c>
      <x:c r="V242" s="20" t="str">
        <x:v>S6-09</x:v>
      </x:c>
      <x:c r="W242" s="20" t="str">
        <x:v>Backlog / AC</x:v>
      </x:c>
    </x:row>
    <x:row r="243" ht="92" customHeight="1">
      <x:c r="A243" s="20" t="str">
        <x:v>TC-S6-09-03</x:v>
      </x:c>
      <x:c r="B243" s="20" t="n">
        <x:v>6</x:v>
      </x:c>
      <x:c r="C243" s="20" t="str">
        <x:v>EP-06</x:v>
      </x:c>
      <x:c r="D243" s="20" t="str">
        <x:v>S6-09</x:v>
      </x:c>
      <x:c r="E243" s="20" t="str">
        <x:v>S6-09-AC03</x:v>
      </x:c>
      <x:c r="F243" s="20" t="str">
        <x:v>Phỏng vấn &amp; Đánh giá</x:v>
      </x:c>
      <x:c r="G243" s="20" t="str">
        <x:v>Chỉ hiện ứng viên đã có tối thiểu một phiếu đánh giá đã nộp</x:v>
      </x:c>
      <x:c r="H243" s="20" t="str">
        <x:v>Negative / RBAC</x:v>
      </x:c>
      <x:c r="I243" s="20" t="str">
        <x:v>Medium</x:v>
      </x:c>
      <x:c r="J243" s="20" t="str">
        <x:v>Trưởng bộ phận</x:v>
      </x:c>
      <x:c r="K243" s="20" t="str">
        <x:v>Có vị trí/các ứng viên, người phỏng vấn, phòng họp và khung năng lực.</x:v>
      </x:c>
      <x:c r="L243" s="20" t="str">
        <x:v>2026-10-05 09:00–10:00 ICT; Phòng họp A; interviewee 001</x:v>
      </x:c>
      <x:c r="M243" s="20" t="str">
        <x:v>1. Chuẩn bị dữ liệu: Có vị trí/các ứng viên, người phỏng vấn, phòng họp và khung năng lực.
2. Đăng nhập bằng tài khoản vai trò 'Trưởng bộ phận' được phép thao tác.
3. Mở chức năng 'so sánh các ứng viên của cùng một vị trí theo điểm đánh giá'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243" s="20" t="str">
        <x:v>Chỉ hiện ứng viên đã có tối thiểu một phiếu đánh giá đã nộp</x:v>
      </x:c>
      <x:c r="O243" s="20" t="str"/>
      <x:c r="P243" s="20" t="str">
        <x:v>Chưa chạy</x:v>
      </x:c>
      <x:c r="Q243" s="20" t="str"/>
      <x:c r="R243" s="20" t="str"/>
      <x:c r="S243" s="26" t="str"/>
      <x:c r="T243" s="20" t="str">
        <x:v>Cân nhắc</x:v>
      </x:c>
      <x:c r="U243" s="20" t="str">
        <x:v>Nguồn: 4. Product Backlog!F74, tiêu chí 3</x:v>
      </x:c>
      <x:c r="V243" s="20" t="str">
        <x:v>S6-09</x:v>
      </x:c>
      <x:c r="W243" s="20" t="str">
        <x:v>Backlog / AC</x:v>
      </x:c>
    </x:row>
    <x:row r="244" ht="92" customHeight="1">
      <x:c r="A244" s="20" t="str">
        <x:v>TC-S6-09-X01</x:v>
      </x:c>
      <x:c r="B244" s="20" t="n">
        <x:v>6</x:v>
      </x:c>
      <x:c r="C244" s="20" t="str">
        <x:v>EP-06</x:v>
      </x:c>
      <x:c r="D244" s="20" t="str">
        <x:v>S6-09</x:v>
      </x:c>
      <x:c r="E244" s="20" t="str">
        <x:v>QA-EXTRA</x:v>
      </x:c>
      <x:c r="F244" s="20" t="str">
        <x:v>Phỏng vấn &amp; Đánh giá</x:v>
      </x:c>
      <x:c r="G244" s="20" t="str">
        <x:v>Bảng so sánh bỏ hồ sơ chưa có phiếu đã nộp</x:v>
      </x:c>
      <x:c r="H244" s="20" t="str">
        <x:v>Boundary</x:v>
      </x:c>
      <x:c r="I244" s="20" t="str">
        <x:v>Medium</x:v>
      </x:c>
      <x:c r="J244" s="20" t="str">
        <x:v>Trưởng bộ phận</x:v>
      </x:c>
      <x:c r="K244" s="20" t="str">
        <x:v>Có vị trí/các ứng viên, người phỏng vấn, phòng họp và khung năng lực.</x:v>
      </x:c>
      <x:c r="L244" s="20" t="str">
        <x:v>3 ứng viên; A có phiếu Submitted, B Draft, C chưa phỏng vấn</x:v>
      </x:c>
      <x:c r="M244" s="20" t="str">
        <x:v>1. Mở compare cho cả ba
2. Thêm phiếu B chưa Submit
3. Kiểm tra danh sách</x:v>
      </x:c>
      <x:c r="N244" s="20" t="str">
        <x:v>Chỉ ứng viên A hiển thị; thứ tự điểm không tính phiếu nháp</x:v>
      </x:c>
      <x:c r="O244" s="20" t="str"/>
      <x:c r="P244" s="20" t="str">
        <x:v>Chưa chạy</x:v>
      </x:c>
      <x:c r="Q244" s="20" t="str"/>
      <x:c r="R244" s="20" t="str"/>
      <x:c r="S244" s="26" t="str"/>
      <x:c r="T244" s="20" t="str">
        <x:v>Cân nhắc</x:v>
      </x:c>
      <x:c r="U244" s="20" t="str">
        <x:v>Kịch bản rủi ro/biên; nếu vượt yêu cầu backlog, xác nhận PO.</x:v>
      </x:c>
      <x:c r="V244" s="20" t="str">
        <x:v>S6-09</x:v>
      </x:c>
      <x:c r="W244" s="20" t="str">
        <x:v>Bổ sung QA</x:v>
      </x:c>
    </x:row>
    <x:row r="245" ht="92" customHeight="1">
      <x:c r="A245" s="20" t="str">
        <x:v>TC-S7-01-01</x:v>
      </x:c>
      <x:c r="B245" s="20" t="n">
        <x:v>7</x:v>
      </x:c>
      <x:c r="C245" s="20" t="str">
        <x:v>EP-06</x:v>
      </x:c>
      <x:c r="D245" s="20" t="str">
        <x:v>S7-01</x:v>
      </x:c>
      <x:c r="E245" s="20" t="str">
        <x:v>S7-01-AC01</x:v>
      </x:c>
      <x:c r="F245" s="20" t="str">
        <x:v>Phỏng vấn &amp; Đánh giá</x:v>
      </x:c>
      <x:c r="G245" s="20" t="str">
        <x:v>Hiển thị các buổi sắp tới kèm tên ứng viên, vị trí, liên kết mở CV</x:v>
      </x:c>
      <x:c r="H245" s="20" t="str">
        <x:v>Functional</x:v>
      </x:c>
      <x:c r="I245" s="20" t="str">
        <x:v>High</x:v>
      </x:c>
      <x:c r="J245" s="20" t="str">
        <x:v>Người phỏng vấn</x:v>
      </x:c>
      <x:c r="K245" s="20" t="str">
        <x:v>Có ứng viên đã qua phỏng vấn, phiếu đánh giá và dải lương test.</x:v>
      </x:c>
      <x:c r="L245" s="20" t="str">
        <x:v>Offer 20 triệu VND; offer vượt dải 30 triệu; ngày nhận việc 2026-10-15</x:v>
      </x:c>
      <x:c r="M245" s="20" t="str">
        <x:v>1. Chuẩn bị dữ liệu: Có ứng viên đã qua phỏng vấn, phiếu đánh giá và dải lương test.
2. Đăng nhập bằng tài khoản vai trò 'Người phỏng vấn' được phép thao tác.
3. Mở chức năng 'xem lịch phỏng vấn của riêng mình' trên môi trường staging.
4. Interviewer A mở Lịch của tôi
5. kiểm tra buổi sắp tới, tên candidate, job và nút mở CV.
6. Ghi kết quả thực tế và đối chiếu tiêu chí S7-01-AC01.</x:v>
      </x:c>
      <x:c r="N245" s="20" t="str">
        <x:v>Hiển thị các buổi sắp tới kèm tên ứng viên, vị trí, liên kết mở CV</x:v>
      </x:c>
      <x:c r="O245" s="20" t="str"/>
      <x:c r="P245" s="20" t="str">
        <x:v>Chưa chạy</x:v>
      </x:c>
      <x:c r="Q245" s="20" t="str"/>
      <x:c r="R245" s="20" t="str"/>
      <x:c r="S245" s="26" t="str"/>
      <x:c r="T245" s="20" t="str">
        <x:v>Ưu tiên tự động hóa</x:v>
      </x:c>
      <x:c r="U245" s="20" t="str">
        <x:v>Nguồn: 4. Product Backlog!F77, tiêu chí 1</x:v>
      </x:c>
      <x:c r="V245" s="20" t="str">
        <x:v>S7-01</x:v>
      </x:c>
      <x:c r="W245" s="20" t="str">
        <x:v>Backlog / AC</x:v>
      </x:c>
    </x:row>
    <x:row r="246" ht="92" customHeight="1">
      <x:c r="A246" s="20" t="str">
        <x:v>TC-S7-01-02</x:v>
      </x:c>
      <x:c r="B246" s="20" t="n">
        <x:v>7</x:v>
      </x:c>
      <x:c r="C246" s="20" t="str">
        <x:v>EP-06</x:v>
      </x:c>
      <x:c r="D246" s="20" t="str">
        <x:v>S7-01</x:v>
      </x:c>
      <x:c r="E246" s="20" t="str">
        <x:v>S7-01-AC02</x:v>
      </x:c>
      <x:c r="F246" s="20" t="str">
        <x:v>Phỏng vấn &amp; Đánh giá</x:v>
      </x:c>
      <x:c r="G246" s="20" t="str">
        <x:v>Đánh dấu rõ buổi nào chưa nộp phiếu đánh giá</x:v>
      </x:c>
      <x:c r="H246" s="20" t="str">
        <x:v>Functional</x:v>
      </x:c>
      <x:c r="I246" s="20" t="str">
        <x:v>High</x:v>
      </x:c>
      <x:c r="J246" s="20" t="str">
        <x:v>Người phỏng vấn</x:v>
      </x:c>
      <x:c r="K246" s="20" t="str">
        <x:v>Có ứng viên đã qua phỏng vấn, phiếu đánh giá và dải lương test.</x:v>
      </x:c>
      <x:c r="L246" s="20" t="str">
        <x:v>Offer 20 triệu VND; offer vượt dải 30 triệu; ngày nhận việc 2026-10-15</x:v>
      </x:c>
      <x:c r="M246" s="20" t="str">
        <x:v>1. Chuẩn bị dữ liệu: Có ứng viên đã qua phỏng vấn, phiếu đánh giá và dải lương test.
2. Đăng nhập bằng tài khoản vai trò 'Người phỏng vấn' được phép thao tác.
3. Mở chức năng 'xem lịch phỏng vấn của riêng mình' trên môi trường staging.
4. Tạo một buổi đã nộp phiếu và một buổi chưa nộp
5. xem nhãn chưa hoàn tất trong lịch cá nhân.
6. Ghi kết quả thực tế và đối chiếu tiêu chí S7-01-AC02.</x:v>
      </x:c>
      <x:c r="N246" s="20" t="str">
        <x:v>Đánh dấu rõ buổi nào chưa nộp phiếu đánh giá</x:v>
      </x:c>
      <x:c r="O246" s="20" t="str"/>
      <x:c r="P246" s="20" t="str">
        <x:v>Chưa chạy</x:v>
      </x:c>
      <x:c r="Q246" s="20" t="str"/>
      <x:c r="R246" s="20" t="str"/>
      <x:c r="S246" s="26" t="str"/>
      <x:c r="T246" s="20" t="str">
        <x:v>Ưu tiên tự động hóa</x:v>
      </x:c>
      <x:c r="U246" s="20" t="str">
        <x:v>Nguồn: 4. Product Backlog!F77, tiêu chí 2</x:v>
      </x:c>
      <x:c r="V246" s="20" t="str">
        <x:v>S7-01</x:v>
      </x:c>
      <x:c r="W246" s="20" t="str">
        <x:v>Backlog / AC</x:v>
      </x:c>
    </x:row>
    <x:row r="247" ht="92" customHeight="1">
      <x:c r="A247" s="20" t="str">
        <x:v>TC-S7-01-03</x:v>
      </x:c>
      <x:c r="B247" s="20" t="n">
        <x:v>7</x:v>
      </x:c>
      <x:c r="C247" s="20" t="str">
        <x:v>EP-06</x:v>
      </x:c>
      <x:c r="D247" s="20" t="str">
        <x:v>S7-01</x:v>
      </x:c>
      <x:c r="E247" s="20" t="str">
        <x:v>S7-01-AC03</x:v>
      </x:c>
      <x:c r="F247" s="20" t="str">
        <x:v>Phỏng vấn &amp; Đánh giá</x:v>
      </x:c>
      <x:c r="G247" s="20" t="str">
        <x:v>Chỉ thấy buổi mình được mời</x:v>
      </x:c>
      <x:c r="H247" s="20" t="str">
        <x:v>Negative / RBAC</x:v>
      </x:c>
      <x:c r="I247" s="20" t="str">
        <x:v>High</x:v>
      </x:c>
      <x:c r="J247" s="20" t="str">
        <x:v>Người phỏng vấn</x:v>
      </x:c>
      <x:c r="K247" s="20" t="str">
        <x:v>Có ứng viên đã qua phỏng vấn, phiếu đánh giá và dải lương test.</x:v>
      </x:c>
      <x:c r="L247" s="20" t="str">
        <x:v>Offer 20 triệu VND; offer vượt dải 30 triệu; ngày nhận việc 2026-10-15</x:v>
      </x:c>
      <x:c r="M247" s="20" t="str">
        <x:v>1. Chuẩn bị dữ liệu: Có ứng viên đã qua phỏng vấn, phiếu đánh giá và dải lương test.
2. Đăng nhập bằng tài khoản vai trò 'Người phỏng vấn' được phép thao tác.
3. Mở chức năng 'xem lịch phỏng vấn của riêng mình'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247" s="20" t="str">
        <x:v>Chỉ thấy buổi mình được mời</x:v>
      </x:c>
      <x:c r="O247" s="20" t="str"/>
      <x:c r="P247" s="20" t="str">
        <x:v>Chưa chạy</x:v>
      </x:c>
      <x:c r="Q247" s="20" t="str"/>
      <x:c r="R247" s="20" t="str"/>
      <x:c r="S247" s="26" t="str"/>
      <x:c r="T247" s="20" t="str">
        <x:v>Ưu tiên tự động hóa</x:v>
      </x:c>
      <x:c r="U247" s="20" t="str">
        <x:v>Nguồn: 4. Product Backlog!F77, tiêu chí 3</x:v>
      </x:c>
      <x:c r="V247" s="20" t="str">
        <x:v>S7-01</x:v>
      </x:c>
      <x:c r="W247" s="20" t="str">
        <x:v>Backlog / AC</x:v>
      </x:c>
    </x:row>
    <x:row r="248" ht="92" customHeight="1">
      <x:c r="A248" s="20" t="str">
        <x:v>TC-S7-01-X01</x:v>
      </x:c>
      <x:c r="B248" s="20" t="n">
        <x:v>7</x:v>
      </x:c>
      <x:c r="C248" s="20" t="str">
        <x:v>EP-06</x:v>
      </x:c>
      <x:c r="D248" s="20" t="str">
        <x:v>S7-01</x:v>
      </x:c>
      <x:c r="E248" s="20" t="str">
        <x:v>QA-EXTRA</x:v>
      </x:c>
      <x:c r="F248" s="20" t="str">
        <x:v>Phỏng vấn &amp; Đánh giá</x:v>
      </x:c>
      <x:c r="G248" s="20" t="str">
        <x:v>Người phỏng vấn không xem lịch của đồng nghiệp</x:v>
      </x:c>
      <x:c r="H248" s="20" t="str">
        <x:v>Security / RBAC</x:v>
      </x:c>
      <x:c r="I248" s="20" t="str">
        <x:v>High</x:v>
      </x:c>
      <x:c r="J248" s="20" t="str">
        <x:v>Người phỏng vấn</x:v>
      </x:c>
      <x:c r="K248" s="20" t="str">
        <x:v>Có ứng viên đã qua phỏng vấn, phiếu đánh giá và dải lương test.</x:v>
      </x:c>
      <x:c r="L248" s="20" t="str">
        <x:v>Interviewer A và B mỗi người có lịch riêng</x:v>
      </x:c>
      <x:c r="M248" s="20" t="str">
        <x:v>1. A mở lịch
2. Thay user_id bằng B trong API
3. Thử tải CV của ứng viên B</x:v>
      </x:c>
      <x:c r="N248" s="20" t="str">
        <x:v>Không lộ lịch hoặc CV ngoài phiên A, trừ trường hợp A được mời cùng buổi</x:v>
      </x:c>
      <x:c r="O248" s="20" t="str"/>
      <x:c r="P248" s="20" t="str">
        <x:v>Chưa chạy</x:v>
      </x:c>
      <x:c r="Q248" s="20" t="str"/>
      <x:c r="R248" s="20" t="str"/>
      <x:c r="S248" s="26" t="str"/>
      <x:c r="T248" s="20" t="str">
        <x:v>Ưu tiên tự động hóa</x:v>
      </x:c>
      <x:c r="U248" s="20" t="str">
        <x:v>Kịch bản rủi ro/biên; nếu vượt yêu cầu backlog, xác nhận PO.</x:v>
      </x:c>
      <x:c r="V248" s="20" t="str">
        <x:v>S7-01</x:v>
      </x:c>
      <x:c r="W248" s="20" t="str">
        <x:v>Bổ sung QA</x:v>
      </x:c>
    </x:row>
    <x:row r="249" ht="92" customHeight="1">
      <x:c r="A249" s="20" t="str">
        <x:v>TC-S7-02-01</x:v>
      </x:c>
      <x:c r="B249" s="20" t="n">
        <x:v>7</x:v>
      </x:c>
      <x:c r="C249" s="20" t="str">
        <x:v>EP-06</x:v>
      </x:c>
      <x:c r="D249" s="20" t="str">
        <x:v>S7-02</x:v>
      </x:c>
      <x:c r="E249" s="20" t="str">
        <x:v>S7-02-AC01</x:v>
      </x:c>
      <x:c r="F249" s="20" t="str">
        <x:v>Phỏng vấn &amp; Đánh giá</x:v>
      </x:c>
      <x:c r="G249" s="20" t="str">
        <x:v>Câu hỏi được lọc theo chức danh và theo tiêu chí trong phiếu đánh giá</x:v>
      </x:c>
      <x:c r="H249" s="20" t="str">
        <x:v>Functional</x:v>
      </x:c>
      <x:c r="I249" s="20" t="str">
        <x:v>Medium</x:v>
      </x:c>
      <x:c r="J249" s="20" t="str">
        <x:v>Người phỏng vấn</x:v>
      </x:c>
      <x:c r="K249" s="20" t="str">
        <x:v>Có ứng viên đã qua phỏng vấn, phiếu đánh giá và dải lương test.</x:v>
      </x:c>
      <x:c r="L249" s="20" t="str">
        <x:v>Offer 20 triệu VND; offer vượt dải 30 triệu; ngày nhận việc 2026-10-15</x:v>
      </x:c>
      <x:c r="M249" s="20" t="str">
        <x:v>1. Chuẩn bị dữ liệu: Có ứng viên đã qua phỏng vấn, phiếu đánh giá và dải lương test.
2. Đăng nhập bằng tài khoản vai trò 'Người phỏng vấn' được phép thao tác.
3. Mở chức năng 'xem bộ câu hỏi gợi ý ngay trong màn hình phỏng vấn' trên môi trường staging.
4. Tạo dữ liệu đối chứng thuộc và không thuộc điều kiện; áp dụng bộ lọc/tìm kiếm/sắp xếp tương ứng.
5. Đối chiếu danh sách/kết quả tổng hợp với dữ liệu gốc.</x:v>
      </x:c>
      <x:c r="N249" s="20" t="str">
        <x:v>Câu hỏi được lọc theo chức danh và theo tiêu chí trong phiếu đánh giá</x:v>
      </x:c>
      <x:c r="O249" s="20" t="str"/>
      <x:c r="P249" s="20" t="str">
        <x:v>Chưa chạy</x:v>
      </x:c>
      <x:c r="Q249" s="20" t="str"/>
      <x:c r="R249" s="20" t="str"/>
      <x:c r="S249" s="26" t="str"/>
      <x:c r="T249" s="20" t="str">
        <x:v>Cân nhắc</x:v>
      </x:c>
      <x:c r="U249" s="20" t="str">
        <x:v>Nguồn: 4. Product Backlog!F78, tiêu chí 1</x:v>
      </x:c>
      <x:c r="V249" s="20" t="str">
        <x:v>S7-02</x:v>
      </x:c>
      <x:c r="W249" s="20" t="str">
        <x:v>Backlog / AC</x:v>
      </x:c>
    </x:row>
    <x:row r="250" ht="92" customHeight="1">
      <x:c r="A250" s="20" t="str">
        <x:v>TC-S7-02-02</x:v>
      </x:c>
      <x:c r="B250" s="20" t="n">
        <x:v>7</x:v>
      </x:c>
      <x:c r="C250" s="20" t="str">
        <x:v>EP-06</x:v>
      </x:c>
      <x:c r="D250" s="20" t="str">
        <x:v>S7-02</x:v>
      </x:c>
      <x:c r="E250" s="20" t="str">
        <x:v>S7-02-AC02</x:v>
      </x:c>
      <x:c r="F250" s="20" t="str">
        <x:v>Phỏng vấn &amp; Đánh giá</x:v>
      </x:c>
      <x:c r="G250" s="20" t="str">
        <x:v>Đánh dấu câu đã hỏi để không hỏi trùng với vòng trước</x:v>
      </x:c>
      <x:c r="H250" s="20" t="str">
        <x:v>Functional</x:v>
      </x:c>
      <x:c r="I250" s="20" t="str">
        <x:v>Medium</x:v>
      </x:c>
      <x:c r="J250" s="20" t="str">
        <x:v>Người phỏng vấn</x:v>
      </x:c>
      <x:c r="K250" s="20" t="str">
        <x:v>Có ứng viên đã qua phỏng vấn, phiếu đánh giá và dải lương test.</x:v>
      </x:c>
      <x:c r="L250" s="20" t="str">
        <x:v>Offer 20 triệu VND; offer vượt dải 30 triệu; ngày nhận việc 2026-10-15</x:v>
      </x:c>
      <x:c r="M250" s="20" t="str">
        <x:v>1. Chuẩn bị dữ liệu: Có ứng viên đã qua phỏng vấn, phiếu đánh giá và dải lương test.
2. Đăng nhập bằng tài khoản vai trò 'Người phỏng vấn' được phép thao tác.
3. Mở chức năng 'xem bộ câu hỏi gợi ý ngay trong màn hình phỏng vấn' trên môi trường staging.
4. Tạo hai bản ghi/khung giờ có cùng khoá nghiệp vụ (email, số điện thoại, vị trí hoặc người/phòng trùng lịch).
5. Thực hiện lưu/gộp/đặt lịch và kiểm tra cảnh báo, dữ liệu sau thao tác.</x:v>
      </x:c>
      <x:c r="N250" s="20" t="str">
        <x:v>Đánh dấu câu đã hỏi để không hỏi trùng với vòng trước</x:v>
      </x:c>
      <x:c r="O250" s="20" t="str"/>
      <x:c r="P250" s="20" t="str">
        <x:v>Chưa chạy</x:v>
      </x:c>
      <x:c r="Q250" s="20" t="str"/>
      <x:c r="R250" s="20" t="str"/>
      <x:c r="S250" s="26" t="str"/>
      <x:c r="T250" s="20" t="str">
        <x:v>Cân nhắc</x:v>
      </x:c>
      <x:c r="U250" s="20" t="str">
        <x:v>Nguồn: 4. Product Backlog!F78, tiêu chí 2</x:v>
      </x:c>
      <x:c r="V250" s="20" t="str">
        <x:v>S7-02</x:v>
      </x:c>
      <x:c r="W250" s="20" t="str">
        <x:v>Backlog / AC</x:v>
      </x:c>
    </x:row>
    <x:row r="251" ht="92" customHeight="1">
      <x:c r="A251" s="20" t="str">
        <x:v>TC-S7-02-03</x:v>
      </x:c>
      <x:c r="B251" s="20" t="n">
        <x:v>7</x:v>
      </x:c>
      <x:c r="C251" s="20" t="str">
        <x:v>EP-06</x:v>
      </x:c>
      <x:c r="D251" s="20" t="str">
        <x:v>S7-02</x:v>
      </x:c>
      <x:c r="E251" s="20" t="str">
        <x:v>S7-02-AC03</x:v>
      </x:c>
      <x:c r="F251" s="20" t="str">
        <x:v>Phỏng vấn &amp; Đánh giá</x:v>
      </x:c>
      <x:c r="G251" s="20" t="str">
        <x:v>Xem được gợi ý câu trả lời tốt</x:v>
      </x:c>
      <x:c r="H251" s="20" t="str">
        <x:v>Functional</x:v>
      </x:c>
      <x:c r="I251" s="20" t="str">
        <x:v>Medium</x:v>
      </x:c>
      <x:c r="J251" s="20" t="str">
        <x:v>Người phỏng vấn</x:v>
      </x:c>
      <x:c r="K251" s="20" t="str">
        <x:v>Có ứng viên đã qua phỏng vấn, phiếu đánh giá và dải lương test.</x:v>
      </x:c>
      <x:c r="L251" s="20" t="str">
        <x:v>Offer 20 triệu VND; offer vượt dải 30 triệu; ngày nhận việc 2026-10-15</x:v>
      </x:c>
      <x:c r="M251" s="20" t="str">
        <x:v>1. Chuẩn bị dữ liệu: Có ứng viên đã qua phỏng vấn, phiếu đánh giá và dải lương test.
2. Đăng nhập bằng tài khoản vai trò 'Người phỏng vấn' được phép thao tác.
3. Mở chức năng 'xem bộ câu hỏi gợi ý ngay trong màn hình phỏng vấn' trên môi trường staging.
4. Mở danh sách câu hỏi của một buổi theo tiêu chí
5. bấm Xem gợi ý trả lời và đối chiếu dữ liệu ngân hàng.
6. Ghi kết quả thực tế và đối chiếu tiêu chí S7-02-AC03.</x:v>
      </x:c>
      <x:c r="N251" s="20" t="str">
        <x:v>Xem được gợi ý câu trả lời tốt</x:v>
      </x:c>
      <x:c r="O251" s="20" t="str"/>
      <x:c r="P251" s="20" t="str">
        <x:v>Chưa chạy</x:v>
      </x:c>
      <x:c r="Q251" s="20" t="str"/>
      <x:c r="R251" s="20" t="str"/>
      <x:c r="S251" s="26" t="str"/>
      <x:c r="T251" s="20" t="str">
        <x:v>Cân nhắc</x:v>
      </x:c>
      <x:c r="U251" s="20" t="str">
        <x:v>Nguồn: 4. Product Backlog!F78, tiêu chí 3</x:v>
      </x:c>
      <x:c r="V251" s="20" t="str">
        <x:v>S7-02</x:v>
      </x:c>
      <x:c r="W251" s="20" t="str">
        <x:v>Backlog / AC</x:v>
      </x:c>
    </x:row>
    <x:row r="252" ht="92" customHeight="1">
      <x:c r="A252" s="20" t="str">
        <x:v>TC-S7-02-X01</x:v>
      </x:c>
      <x:c r="B252" s="20" t="n">
        <x:v>7</x:v>
      </x:c>
      <x:c r="C252" s="20" t="str">
        <x:v>EP-06</x:v>
      </x:c>
      <x:c r="D252" s="20" t="str">
        <x:v>S7-02</x:v>
      </x:c>
      <x:c r="E252" s="20" t="str">
        <x:v>QA-EXTRA</x:v>
      </x:c>
      <x:c r="F252" s="20" t="str">
        <x:v>Phỏng vấn &amp; Đánh giá</x:v>
      </x:c>
      <x:c r="G252" s="20" t="str">
        <x:v>Không thể đánh dấu đã hỏi câu hỏi của vòng khác trái quyền</x:v>
      </x:c>
      <x:c r="H252" s="20" t="str">
        <x:v>Security / RBAC</x:v>
      </x:c>
      <x:c r="I252" s="20" t="str">
        <x:v>Medium</x:v>
      </x:c>
      <x:c r="J252" s="20" t="str">
        <x:v>Người phỏng vấn</x:v>
      </x:c>
      <x:c r="K252" s="20" t="str">
        <x:v>Có ứng viên đã qua phỏng vấn, phiếu đánh giá và dải lương test.</x:v>
      </x:c>
      <x:c r="L252" s="20" t="str">
        <x:v>Interviewer A chỉ được mời vòng 1; vòng 2 có câu khác</x:v>
      </x:c>
      <x:c r="M252" s="20" t="str">
        <x:v>1. A mở bộ câu hỏi
2. Gửi API đánh dấu câu vòng 2
3. Kiểm tra vòng 2</x:v>
      </x:c>
      <x:c r="N252" s="20" t="str">
        <x:v>Chỉ quyền trong vòng được mời; dấu đã hỏi không bị ghi sai vòng</x:v>
      </x:c>
      <x:c r="O252" s="20" t="str"/>
      <x:c r="P252" s="20" t="str">
        <x:v>Chưa chạy</x:v>
      </x:c>
      <x:c r="Q252" s="20" t="str"/>
      <x:c r="R252" s="20" t="str"/>
      <x:c r="S252" s="26" t="str"/>
      <x:c r="T252" s="20" t="str">
        <x:v>Cân nhắc</x:v>
      </x:c>
      <x:c r="U252" s="20" t="str">
        <x:v>Kịch bản rủi ro/biên; nếu vượt yêu cầu backlog, xác nhận PO.</x:v>
      </x:c>
      <x:c r="V252" s="20" t="str">
        <x:v>S7-02</x:v>
      </x:c>
      <x:c r="W252" s="20" t="str">
        <x:v>Bổ sung QA</x:v>
      </x:c>
    </x:row>
    <x:row r="253" ht="92" customHeight="1">
      <x:c r="A253" s="20" t="str">
        <x:v>TC-S7-03-01</x:v>
      </x:c>
      <x:c r="B253" s="20" t="n">
        <x:v>7</x:v>
      </x:c>
      <x:c r="C253" s="20" t="str">
        <x:v>EP-06</x:v>
      </x:c>
      <x:c r="D253" s="20" t="str">
        <x:v>S7-03</x:v>
      </x:c>
      <x:c r="E253" s="20" t="str">
        <x:v>S7-03-AC01</x:v>
      </x:c>
      <x:c r="F253" s="20" t="str">
        <x:v>Phỏng vấn &amp; Đánh giá</x:v>
      </x:c>
      <x:c r="G253" s="20" t="str">
        <x:v>Một màn hình gộp toàn bộ phiếu đánh giá của mọi vòng cho một ứng viên</x:v>
      </x:c>
      <x:c r="H253" s="20" t="str">
        <x:v>Functional</x:v>
      </x:c>
      <x:c r="I253" s="20" t="str">
        <x:v>High</x:v>
      </x:c>
      <x:c r="J253" s="20" t="str">
        <x:v>Trưởng bộ phận</x:v>
      </x:c>
      <x:c r="K253" s="20" t="str">
        <x:v>Có ứng viên đã qua phỏng vấn, phiếu đánh giá và dải lương test.</x:v>
      </x:c>
      <x:c r="L253" s="20" t="str">
        <x:v>Offer 20 triệu VND; offer vượt dải 30 triệu; ngày nhận việc 2026-10-15</x:v>
      </x:c>
      <x:c r="M253" s="20" t="str">
        <x:v>1. Chuẩn bị dữ liệu: Có ứng viên đã qua phỏng vấn, phiếu đánh giá và dải lương test.
2. Đăng nhập bằng tài khoản vai trò 'Trưởng bộ phận' được phép thao tác.
3. Mở chức năng 'tổng hợp kết quả nhiều vòng và ra quyết định tuyển' trên môi trường staging.
4. Tạo một ứng viên có phiếu vòng 1 và vòng 2
5. HM mở kết quả tổng hợp và so sánh từng phiếu nguồn.
6. Ghi kết quả thực tế và đối chiếu tiêu chí S7-03-AC01.</x:v>
      </x:c>
      <x:c r="N253" s="20" t="str">
        <x:v>Một màn hình gộp toàn bộ phiếu đánh giá của mọi vòng cho một ứng viên</x:v>
      </x:c>
      <x:c r="O253" s="20" t="str"/>
      <x:c r="P253" s="20" t="str">
        <x:v>Chưa chạy</x:v>
      </x:c>
      <x:c r="Q253" s="20" t="str"/>
      <x:c r="R253" s="20" t="str"/>
      <x:c r="S253" s="26" t="str"/>
      <x:c r="T253" s="20" t="str">
        <x:v>Ưu tiên tự động hóa</x:v>
      </x:c>
      <x:c r="U253" s="20" t="str">
        <x:v>Nguồn: 4. Product Backlog!F79, tiêu chí 1</x:v>
      </x:c>
      <x:c r="V253" s="20" t="str">
        <x:v>S7-03</x:v>
      </x:c>
      <x:c r="W253" s="20" t="str">
        <x:v>Backlog / AC</x:v>
      </x:c>
    </x:row>
    <x:row r="254" ht="92" customHeight="1">
      <x:c r="A254" s="20" t="str">
        <x:v>TC-S7-03-02</x:v>
      </x:c>
      <x:c r="B254" s="20" t="n">
        <x:v>7</x:v>
      </x:c>
      <x:c r="C254" s="20" t="str">
        <x:v>EP-06</x:v>
      </x:c>
      <x:c r="D254" s="20" t="str">
        <x:v>S7-03</x:v>
      </x:c>
      <x:c r="E254" s="20" t="str">
        <x:v>S7-03-AC02</x:v>
      </x:c>
      <x:c r="F254" s="20" t="str">
        <x:v>Phỏng vấn &amp; Đánh giá</x:v>
      </x:c>
      <x:c r="G254" s="20" t="str">
        <x:v>Hiển thị điểm trung bình theo tiêu chí và các kết luận</x:v>
      </x:c>
      <x:c r="H254" s="20" t="str">
        <x:v>Functional</x:v>
      </x:c>
      <x:c r="I254" s="20" t="str">
        <x:v>High</x:v>
      </x:c>
      <x:c r="J254" s="20" t="str">
        <x:v>Trưởng bộ phận</x:v>
      </x:c>
      <x:c r="K254" s="20" t="str">
        <x:v>Có ứng viên đã qua phỏng vấn, phiếu đánh giá và dải lương test.</x:v>
      </x:c>
      <x:c r="L254" s="20" t="str">
        <x:v>Offer 20 triệu VND; offer vượt dải 30 triệu; ngày nhận việc 2026-10-15</x:v>
      </x:c>
      <x:c r="M254" s="20" t="str">
        <x:v>1. Chuẩn bị dữ liệu: Có ứng viên đã qua phỏng vấn, phiếu đánh giá và dải lương test.
2. Đăng nhập bằng tài khoản vai trò 'Trưởng bộ phận' được phép thao tác.
3. Mở chức năng 'tổng hợp kết quả nhiều vòng và ra quyết định tuyển' trên môi trường staging.
4. Nhập hai phiếu có cùng tiêu chí điểm 3 và 5
5. mở tổng hợp và đối chiếu điểm trung bình 4.
6. Ghi kết quả thực tế và đối chiếu tiêu chí S7-03-AC02.</x:v>
      </x:c>
      <x:c r="N254" s="20" t="str">
        <x:v>Hiển thị điểm trung bình theo tiêu chí và các kết luận</x:v>
      </x:c>
      <x:c r="O254" s="20" t="str"/>
      <x:c r="P254" s="20" t="str">
        <x:v>Chưa chạy</x:v>
      </x:c>
      <x:c r="Q254" s="20" t="str"/>
      <x:c r="R254" s="20" t="str"/>
      <x:c r="S254" s="26" t="str"/>
      <x:c r="T254" s="20" t="str">
        <x:v>Ưu tiên tự động hóa</x:v>
      </x:c>
      <x:c r="U254" s="20" t="str">
        <x:v>Nguồn: 4. Product Backlog!F79, tiêu chí 2</x:v>
      </x:c>
      <x:c r="V254" s="20" t="str">
        <x:v>S7-03</x:v>
      </x:c>
      <x:c r="W254" s="20" t="str">
        <x:v>Backlog / AC</x:v>
      </x:c>
    </x:row>
    <x:row r="255" ht="92" customHeight="1">
      <x:c r="A255" s="20" t="str">
        <x:v>TC-S7-03-03</x:v>
      </x:c>
      <x:c r="B255" s="20" t="n">
        <x:v>7</x:v>
      </x:c>
      <x:c r="C255" s="20" t="str">
        <x:v>EP-06</x:v>
      </x:c>
      <x:c r="D255" s="20" t="str">
        <x:v>S7-03</x:v>
      </x:c>
      <x:c r="E255" s="20" t="str">
        <x:v>S7-03-AC03</x:v>
      </x:c>
      <x:c r="F255" s="20" t="str">
        <x:v>Phỏng vấn &amp; Đánh giá</x:v>
      </x:c>
      <x:c r="G255" s="20" t="str">
        <x:v>Chọn quyết định: Chuyển sang đề xuất offer, hoặc Loại kèm lý do</x:v>
      </x:c>
      <x:c r="H255" s="20" t="str">
        <x:v>Functional</x:v>
      </x:c>
      <x:c r="I255" s="20" t="str">
        <x:v>High</x:v>
      </x:c>
      <x:c r="J255" s="20" t="str">
        <x:v>Trưởng bộ phận</x:v>
      </x:c>
      <x:c r="K255" s="20" t="str">
        <x:v>Có ứng viên đã qua phỏng vấn, phiếu đánh giá và dải lương test.</x:v>
      </x:c>
      <x:c r="L255" s="20" t="str">
        <x:v>Offer 20 triệu VND; offer vượt dải 30 triệu; ngày nhận việc 2026-10-15</x:v>
      </x:c>
      <x:c r="M255" s="20" t="str">
        <x:v>1. Chuẩn bị dữ liệu: Có ứng viên đã qua phỏng vấn, phiếu đánh giá và dải lương test.
2. Đăng nhập bằng tài khoản vai trò 'Trưởng bộ phận' được phép thao tác.
3. Mở chức năng 'tổng hợp kết quả nhiều vòng và ra quyết định tuyển' trên môi trường staging.
4. HM chọn Chuyển sang offer cho candidate A
5. chọn Loại + lý do cho candidate B
6. kiểm tra status hai hồ sơ.
7. Ghi kết quả thực tế và đối chiếu tiêu chí S7-03-AC03.</x:v>
      </x:c>
      <x:c r="N255" s="20" t="str">
        <x:v>Chọn quyết định: Chuyển sang đề xuất offer, hoặc Loại kèm lý do</x:v>
      </x:c>
      <x:c r="O255" s="20" t="str"/>
      <x:c r="P255" s="20" t="str">
        <x:v>Chưa chạy</x:v>
      </x:c>
      <x:c r="Q255" s="20" t="str"/>
      <x:c r="R255" s="20" t="str"/>
      <x:c r="S255" s="26" t="str"/>
      <x:c r="T255" s="20" t="str">
        <x:v>Ưu tiên tự động hóa</x:v>
      </x:c>
      <x:c r="U255" s="20" t="str">
        <x:v>Nguồn: 4. Product Backlog!F79, tiêu chí 3</x:v>
      </x:c>
      <x:c r="V255" s="20" t="str">
        <x:v>S7-03</x:v>
      </x:c>
      <x:c r="W255" s="20" t="str">
        <x:v>Backlog / AC</x:v>
      </x:c>
    </x:row>
    <x:row r="256" ht="92" customHeight="1">
      <x:c r="A256" s="20" t="str">
        <x:v>TC-S7-03-04</x:v>
      </x:c>
      <x:c r="B256" s="20" t="n">
        <x:v>7</x:v>
      </x:c>
      <x:c r="C256" s="20" t="str">
        <x:v>EP-06</x:v>
      </x:c>
      <x:c r="D256" s="20" t="str">
        <x:v>S7-03</x:v>
      </x:c>
      <x:c r="E256" s="20" t="str">
        <x:v>S7-03-AC04</x:v>
      </x:c>
      <x:c r="F256" s="20" t="str">
        <x:v>Phỏng vấn &amp; Đánh giá</x:v>
      </x:c>
      <x:c r="G256" s="20" t="str">
        <x:v>Quyết định được ghi nhật ký kèm người quyết định</x:v>
      </x:c>
      <x:c r="H256" s="20" t="str">
        <x:v>Functional</x:v>
      </x:c>
      <x:c r="I256" s="20" t="str">
        <x:v>High</x:v>
      </x:c>
      <x:c r="J256" s="20" t="str">
        <x:v>Trưởng bộ phận</x:v>
      </x:c>
      <x:c r="K256" s="20" t="str">
        <x:v>Có ứng viên đã qua phỏng vấn, phiếu đánh giá và dải lương test.</x:v>
      </x:c>
      <x:c r="L256" s="20" t="str">
        <x:v>Offer 20 triệu VND; offer vượt dải 30 triệu; ngày nhận việc 2026-10-15</x:v>
      </x:c>
      <x:c r="M256" s="20" t="str">
        <x:v>1. Chuẩn bị dữ liệu: Có ứng viên đã qua phỏng vấn, phiếu đánh giá và dải lương test.
2. Đăng nhập bằng tài khoản vai trò 'Trưởng bộ phận' được phép thao tác.
3. Mở chức năng 'tổng hợp kết quả nhiều vòng và ra quyết định tuyển' trên môi trường staging.
4. Thực hiện ít nhất hai thao tác ở thời điểm và tài khoản khác nhau; mở lịch sử/nhật ký.
5. Đối chiếu actor, hành động, dấu thời gian và thứ tự sự kiện.</x:v>
      </x:c>
      <x:c r="N256" s="20" t="str">
        <x:v>Quyết định được ghi nhật ký kèm người quyết định</x:v>
      </x:c>
      <x:c r="O256" s="20" t="str"/>
      <x:c r="P256" s="20" t="str">
        <x:v>Chưa chạy</x:v>
      </x:c>
      <x:c r="Q256" s="20" t="str"/>
      <x:c r="R256" s="20" t="str"/>
      <x:c r="S256" s="26" t="str"/>
      <x:c r="T256" s="20" t="str">
        <x:v>Ưu tiên tự động hóa</x:v>
      </x:c>
      <x:c r="U256" s="20" t="str">
        <x:v>Nguồn: 4. Product Backlog!F79, tiêu chí 4</x:v>
      </x:c>
      <x:c r="V256" s="20" t="str">
        <x:v>S7-03</x:v>
      </x:c>
      <x:c r="W256" s="20" t="str">
        <x:v>Backlog / AC</x:v>
      </x:c>
    </x:row>
    <x:row r="257" ht="92" customHeight="1">
      <x:c r="A257" s="20" t="str">
        <x:v>TC-S7-03-X01</x:v>
      </x:c>
      <x:c r="B257" s="20" t="n">
        <x:v>7</x:v>
      </x:c>
      <x:c r="C257" s="20" t="str">
        <x:v>EP-06</x:v>
      </x:c>
      <x:c r="D257" s="20" t="str">
        <x:v>S7-03</x:v>
      </x:c>
      <x:c r="E257" s="20" t="str">
        <x:v>QA-EXTRA</x:v>
      </x:c>
      <x:c r="F257" s="20" t="str">
        <x:v>Phỏng vấn &amp; Đánh giá</x:v>
      </x:c>
      <x:c r="G257" s="20" t="str">
        <x:v>Quyết định tuyển phải có lý do nếu loại</x:v>
      </x:c>
      <x:c r="H257" s="20" t="str">
        <x:v>Negative</x:v>
      </x:c>
      <x:c r="I257" s="20" t="str">
        <x:v>High</x:v>
      </x:c>
      <x:c r="J257" s="20" t="str">
        <x:v>Trưởng bộ phận</x:v>
      </x:c>
      <x:c r="K257" s="20" t="str">
        <x:v>Có ứng viên đã qua phỏng vấn, phiếu đánh giá và dải lương test.</x:v>
      </x:c>
      <x:c r="L257" s="20" t="str">
        <x:v>Ứng viên qua hai vòng; có phiếu đã nộp</x:v>
      </x:c>
      <x:c r="M257" s="20" t="str">
        <x:v>1. Hiring Manager chọn Loại
2. Bỏ trống lý do
3. Lưu
4. Chọn lý do hợp lệ</x:v>
      </x:c>
      <x:c r="N257" s="20" t="str">
        <x:v>Thiếu lý do bị chặn; sau khi hợp lệ mới đổi trạng thái và ghi audit</x:v>
      </x:c>
      <x:c r="O257" s="20" t="str"/>
      <x:c r="P257" s="20" t="str">
        <x:v>Chưa chạy</x:v>
      </x:c>
      <x:c r="Q257" s="20" t="str"/>
      <x:c r="R257" s="20" t="str"/>
      <x:c r="S257" s="26" t="str"/>
      <x:c r="T257" s="20" t="str">
        <x:v>Ưu tiên tự động hóa</x:v>
      </x:c>
      <x:c r="U257" s="20" t="str">
        <x:v>Kịch bản rủi ro/biên; nếu vượt yêu cầu backlog, xác nhận PO.</x:v>
      </x:c>
      <x:c r="V257" s="20" t="str">
        <x:v>S7-03</x:v>
      </x:c>
      <x:c r="W257" s="20" t="str">
        <x:v>Bổ sung QA</x:v>
      </x:c>
    </x:row>
    <x:row r="258" ht="92" customHeight="1">
      <x:c r="A258" s="20" t="str">
        <x:v>TC-S7-04-01</x:v>
      </x:c>
      <x:c r="B258" s="20" t="n">
        <x:v>7</x:v>
      </x:c>
      <x:c r="C258" s="20" t="str">
        <x:v>EP-07</x:v>
      </x:c>
      <x:c r="D258" s="20" t="str">
        <x:v>S7-04</x:v>
      </x:c>
      <x:c r="E258" s="20" t="str">
        <x:v>S7-04-AC01</x:v>
      </x:c>
      <x:c r="F258" s="20" t="str">
        <x:v>Offer &amp; Onboarding</x:v>
      </x:c>
      <x:c r="G258" s="20" t="str">
        <x:v>Khai báo chức danh, mức lương, phụ cấp, ngày dự kiến nhận việc, thời hạn phản hồi</x:v>
      </x:c>
      <x:c r="H258" s="20" t="str">
        <x:v>Functional</x:v>
      </x:c>
      <x:c r="I258" s="20" t="str">
        <x:v>High</x:v>
      </x:c>
      <x:c r="J258" s="20" t="str">
        <x:v>Nhân viên tuyển dụng</x:v>
      </x:c>
      <x:c r="K258" s="20" t="str">
        <x:v>Có ứng viên đã qua phỏng vấn, phiếu đánh giá và dải lương test.</x:v>
      </x:c>
      <x:c r="L258" s="20" t="str">
        <x:v>Offer 20 triệu VND; offer vượt dải 30 triệu; ngày nhận việc 2026-10-15</x:v>
      </x:c>
      <x:c r="M258" s="20" t="str">
        <x:v>1. Chuẩn bị dữ liệu: Có ứng viên đã qua phỏng vấn, phiếu đánh giá và dải lương test.
2. Đăng nhập bằng tài khoản vai trò 'Nhân viên tuyển dụng' được phép thao tác.
3. Mở chức năng 'soạn đề xuất offer cho ứng viên' trên môi trường staging.
4. Recruiter mở form Offer
5. nhập chức danh, mức lương, phụ cấp, ngày nhận việc và deadline
6. lưu nháp.
7. Ghi kết quả thực tế và đối chiếu tiêu chí S7-04-AC01.</x:v>
      </x:c>
      <x:c r="N258" s="20" t="str">
        <x:v>Khai báo chức danh, mức lương, phụ cấp, ngày dự kiến nhận việc, thời hạn phản hồi</x:v>
      </x:c>
      <x:c r="O258" s="20" t="str"/>
      <x:c r="P258" s="20" t="str">
        <x:v>Chưa chạy</x:v>
      </x:c>
      <x:c r="Q258" s="20" t="str"/>
      <x:c r="R258" s="20" t="str"/>
      <x:c r="S258" s="26" t="str"/>
      <x:c r="T258" s="20" t="str">
        <x:v>Ưu tiên tự động hóa</x:v>
      </x:c>
      <x:c r="U258" s="20" t="str">
        <x:v>Nguồn: 4. Product Backlog!F80, tiêu chí 1</x:v>
      </x:c>
      <x:c r="V258" s="20" t="str">
        <x:v>S7-04</x:v>
      </x:c>
      <x:c r="W258" s="20" t="str">
        <x:v>Backlog / AC</x:v>
      </x:c>
    </x:row>
    <x:row r="259" ht="92" customHeight="1">
      <x:c r="A259" s="20" t="str">
        <x:v>TC-S7-04-02</x:v>
      </x:c>
      <x:c r="B259" s="20" t="n">
        <x:v>7</x:v>
      </x:c>
      <x:c r="C259" s="20" t="str">
        <x:v>EP-07</x:v>
      </x:c>
      <x:c r="D259" s="20" t="str">
        <x:v>S7-04</x:v>
      </x:c>
      <x:c r="E259" s="20" t="str">
        <x:v>S7-04-AC02</x:v>
      </x:c>
      <x:c r="F259" s="20" t="str">
        <x:v>Offer &amp; Onboarding</x:v>
      </x:c>
      <x:c r="G259" s="20" t="str">
        <x:v>Mức lương ngoài dải chuẩn của chức danh bắt buộc nhập giải trình</x:v>
      </x:c>
      <x:c r="H259" s="20" t="str">
        <x:v>Functional</x:v>
      </x:c>
      <x:c r="I259" s="20" t="str">
        <x:v>High</x:v>
      </x:c>
      <x:c r="J259" s="20" t="str">
        <x:v>Nhân viên tuyển dụng</x:v>
      </x:c>
      <x:c r="K259" s="20" t="str">
        <x:v>Có ứng viên đã qua phỏng vấn, phiếu đánh giá và dải lương test.</x:v>
      </x:c>
      <x:c r="L259" s="20" t="str">
        <x:v>Offer 20 triệu VND; offer vượt dải 30 triệu; ngày nhận việc 2026-10-15</x:v>
      </x:c>
      <x:c r="M259" s="20" t="str">
        <x:v>1. Chuẩn bị dữ liệu: Có ứng viên đã qua phỏng vấn, phiếu đánh giá và dải lương test.
2. Đăng nhập bằng tài khoản vai trò 'Nhân viên tuyển dụng' được phép thao tác.
3. Mở chức năng 'soạn đề xuất offer cho ứng viên' trên môi trường staging.
4. Thử một bộ dữ liệu hợp lệ và một bộ thiếu/sai điều kiện bắt buộc; thực hiện Lưu/Gửi duyệt.
5. So sánh xác thực UI/API và dữ liệu được ghi.</x:v>
      </x:c>
      <x:c r="N259" s="20" t="str">
        <x:v>Mức lương ngoài dải chuẩn của chức danh bắt buộc nhập giải trình</x:v>
      </x:c>
      <x:c r="O259" s="20" t="str"/>
      <x:c r="P259" s="20" t="str">
        <x:v>Chưa chạy</x:v>
      </x:c>
      <x:c r="Q259" s="20" t="str"/>
      <x:c r="R259" s="20" t="str"/>
      <x:c r="S259" s="26" t="str"/>
      <x:c r="T259" s="20" t="str">
        <x:v>Ưu tiên tự động hóa</x:v>
      </x:c>
      <x:c r="U259" s="20" t="str">
        <x:v>Nguồn: 4. Product Backlog!F80, tiêu chí 2</x:v>
      </x:c>
      <x:c r="V259" s="20" t="str">
        <x:v>S7-04</x:v>
      </x:c>
      <x:c r="W259" s="20" t="str">
        <x:v>Backlog / AC</x:v>
      </x:c>
    </x:row>
    <x:row r="260" ht="92" customHeight="1">
      <x:c r="A260" s="20" t="str">
        <x:v>TC-S7-04-03</x:v>
      </x:c>
      <x:c r="B260" s="20" t="n">
        <x:v>7</x:v>
      </x:c>
      <x:c r="C260" s="20" t="str">
        <x:v>EP-07</x:v>
      </x:c>
      <x:c r="D260" s="20" t="str">
        <x:v>S7-04</x:v>
      </x:c>
      <x:c r="E260" s="20" t="str">
        <x:v>S7-04-AC03</x:v>
      </x:c>
      <x:c r="F260" s="20" t="str">
        <x:v>Offer &amp; Onboarding</x:v>
      </x:c>
      <x:c r="G260" s="20" t="str">
        <x:v>Lưu nháp và xem trước thư offer trước khi gửi duyệt</x:v>
      </x:c>
      <x:c r="H260" s="20" t="str">
        <x:v>Functional</x:v>
      </x:c>
      <x:c r="I260" s="20" t="str">
        <x:v>High</x:v>
      </x:c>
      <x:c r="J260" s="20" t="str">
        <x:v>Nhân viên tuyển dụng</x:v>
      </x:c>
      <x:c r="K260" s="20" t="str">
        <x:v>Có ứng viên đã qua phỏng vấn, phiếu đánh giá và dải lương test.</x:v>
      </x:c>
      <x:c r="L260" s="20" t="str">
        <x:v>Offer 20 triệu VND; offer vượt dải 30 triệu; ngày nhận việc 2026-10-15</x:v>
      </x:c>
      <x:c r="M260" s="20" t="str">
        <x:v>1. Chuẩn bị dữ liệu: Có ứng viên đã qua phỏng vấn, phiếu đánh giá và dải lương test.
2. Đăng nhập bằng tài khoản vai trò 'Nhân viên tuyển dụng' được phép thao tác.
3. Mở chức năng 'soạn đề xuất offer cho ứng viên' trên môi trường staging.
4. Thực hiện thao tác phát sinh email/thông báo; đọc hộp thư sandbox và thông báo trong ứng dụng.
5. Đối chiếu người nhận, nội dung, thời điểm, trạng thái và việc chống gửi trùng.</x:v>
      </x:c>
      <x:c r="N260" s="20" t="str">
        <x:v>Lưu nháp và xem trước thư offer trước khi gửi duyệt</x:v>
      </x:c>
      <x:c r="O260" s="20" t="str"/>
      <x:c r="P260" s="20" t="str">
        <x:v>Chưa chạy</x:v>
      </x:c>
      <x:c r="Q260" s="20" t="str"/>
      <x:c r="R260" s="20" t="str"/>
      <x:c r="S260" s="26" t="str"/>
      <x:c r="T260" s="20" t="str">
        <x:v>Ưu tiên tự động hóa</x:v>
      </x:c>
      <x:c r="U260" s="20" t="str">
        <x:v>Nguồn: 4. Product Backlog!F80, tiêu chí 3</x:v>
      </x:c>
      <x:c r="V260" s="20" t="str">
        <x:v>S7-04</x:v>
      </x:c>
      <x:c r="W260" s="20" t="str">
        <x:v>Backlog / AC</x:v>
      </x:c>
    </x:row>
    <x:row r="261" ht="92" customHeight="1">
      <x:c r="A261" s="20" t="str">
        <x:v>TC-S7-04-04</x:v>
      </x:c>
      <x:c r="B261" s="20" t="n">
        <x:v>7</x:v>
      </x:c>
      <x:c r="C261" s="20" t="str">
        <x:v>EP-07</x:v>
      </x:c>
      <x:c r="D261" s="20" t="str">
        <x:v>S7-04</x:v>
      </x:c>
      <x:c r="E261" s="20" t="str">
        <x:v>S7-04-AC04</x:v>
      </x:c>
      <x:c r="F261" s="20" t="str">
        <x:v>Offer &amp; Onboarding</x:v>
      </x:c>
      <x:c r="G261" s="20" t="str">
        <x:v>Một ứng viên tại một thời điểm chỉ có một offer đang hiệu lực</x:v>
      </x:c>
      <x:c r="H261" s="20" t="str">
        <x:v>Negative / RBAC</x:v>
      </x:c>
      <x:c r="I261" s="20" t="str">
        <x:v>High</x:v>
      </x:c>
      <x:c r="J261" s="20" t="str">
        <x:v>Nhân viên tuyển dụng</x:v>
      </x:c>
      <x:c r="K261" s="20" t="str">
        <x:v>Có ứng viên đã qua phỏng vấn, phiếu đánh giá và dải lương test.</x:v>
      </x:c>
      <x:c r="L261" s="20" t="str">
        <x:v>Offer 20 triệu VND; offer vượt dải 30 triệu; ngày nhận việc 2026-10-15</x:v>
      </x:c>
      <x:c r="M261" s="20" t="str">
        <x:v>1. Chuẩn bị dữ liệu: Có ứng viên đã qua phỏng vấn, phiếu đánh giá và dải lương test.
2. Đăng nhập bằng tài khoản vai trò 'Nhân viên tuyển dụng' được phép thao tác.
3. Mở chức năng 'soạn đề xuất offer cho ứng viên'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261" s="20" t="str">
        <x:v>Một ứng viên tại một thời điểm chỉ có một offer đang hiệu lực</x:v>
      </x:c>
      <x:c r="O261" s="20" t="str"/>
      <x:c r="P261" s="20" t="str">
        <x:v>Chưa chạy</x:v>
      </x:c>
      <x:c r="Q261" s="20" t="str"/>
      <x:c r="R261" s="20" t="str"/>
      <x:c r="S261" s="26" t="str"/>
      <x:c r="T261" s="20" t="str">
        <x:v>Ưu tiên tự động hóa</x:v>
      </x:c>
      <x:c r="U261" s="20" t="str">
        <x:v>Nguồn: 4. Product Backlog!F80, tiêu chí 4</x:v>
      </x:c>
      <x:c r="V261" s="20" t="str">
        <x:v>S7-04</x:v>
      </x:c>
      <x:c r="W261" s="20" t="str">
        <x:v>Backlog / AC</x:v>
      </x:c>
    </x:row>
    <x:row r="262" ht="92" customHeight="1">
      <x:c r="A262" s="20" t="str">
        <x:v>TC-S7-04-X01</x:v>
      </x:c>
      <x:c r="B262" s="20" t="n">
        <x:v>7</x:v>
      </x:c>
      <x:c r="C262" s="20" t="str">
        <x:v>EP-07</x:v>
      </x:c>
      <x:c r="D262" s="20" t="str">
        <x:v>S7-04</x:v>
      </x:c>
      <x:c r="E262" s="20" t="str">
        <x:v>QA-EXTRA</x:v>
      </x:c>
      <x:c r="F262" s="20" t="str">
        <x:v>Offer &amp; Onboarding</x:v>
      </x:c>
      <x:c r="G262" s="20" t="str">
        <x:v>Hai offer đang hiệu lực cho cùng ứng viên</x:v>
      </x:c>
      <x:c r="H262" s="20" t="str">
        <x:v>Concurrency</x:v>
      </x:c>
      <x:c r="I262" s="20" t="str">
        <x:v>High</x:v>
      </x:c>
      <x:c r="J262" s="20" t="str">
        <x:v>Nhân viên tuyển dụng</x:v>
      </x:c>
      <x:c r="K262" s="20" t="str">
        <x:v>Có ứng viên đã qua phỏng vấn, phiếu đánh giá và dải lương test.</x:v>
      </x:c>
      <x:c r="L262" s="20" t="str">
        <x:v>Ứng viên X; hai recruiter mở form offer</x:v>
      </x:c>
      <x:c r="M262" s="20" t="str">
        <x:v>1. Hai phiên cùng gửi offer cho X
2. Truy vấn offer đang hiệu lực
3. Kiểm tra giao dịch</x:v>
      </x:c>
      <x:c r="N262" s="20" t="str">
        <x:v>Tối đa một offer hiệu lực; request thứ hai bị chặn hoặc yêu cầu sửa offer trước</x:v>
      </x:c>
      <x:c r="O262" s="20" t="str"/>
      <x:c r="P262" s="20" t="str">
        <x:v>Chưa chạy</x:v>
      </x:c>
      <x:c r="Q262" s="20" t="str"/>
      <x:c r="R262" s="20" t="str"/>
      <x:c r="S262" s="26" t="str"/>
      <x:c r="T262" s="20" t="str">
        <x:v>Ưu tiên tự động hóa</x:v>
      </x:c>
      <x:c r="U262" s="20" t="str">
        <x:v>Kịch bản rủi ro/biên; nếu vượt yêu cầu backlog, xác nhận PO.</x:v>
      </x:c>
      <x:c r="V262" s="20" t="str">
        <x:v>S7-04</x:v>
      </x:c>
      <x:c r="W262" s="20" t="str">
        <x:v>Bổ sung QA</x:v>
      </x:c>
    </x:row>
    <x:row r="263" ht="92" customHeight="1">
      <x:c r="A263" s="20" t="str">
        <x:v>TC-S7-05-01</x:v>
      </x:c>
      <x:c r="B263" s="20" t="n">
        <x:v>7</x:v>
      </x:c>
      <x:c r="C263" s="20" t="str">
        <x:v>EP-07</x:v>
      </x:c>
      <x:c r="D263" s="20" t="str">
        <x:v>S7-05</x:v>
      </x:c>
      <x:c r="E263" s="20" t="str">
        <x:v>S7-05-AC01</x:v>
      </x:c>
      <x:c r="F263" s="20" t="str">
        <x:v>Offer &amp; Onboarding</x:v>
      </x:c>
      <x:c r="G263" s="20" t="str">
        <x:v>Offer trong dải chuẩn do Trưởng phòng Nhân sự duyệt; vượt dải chuẩn tự động thêm cấp duyệt cao hơn</x:v>
      </x:c>
      <x:c r="H263" s="20" t="str">
        <x:v>Functional</x:v>
      </x:c>
      <x:c r="I263" s="20" t="str">
        <x:v>Critical</x:v>
      </x:c>
      <x:c r="J263" s="20" t="str">
        <x:v>Người duyệt</x:v>
      </x:c>
      <x:c r="K263" s="20" t="str">
        <x:v>Có ứng viên đã qua phỏng vấn, phiếu đánh giá và dải lương test.</x:v>
      </x:c>
      <x:c r="L263" s="20" t="str">
        <x:v>Offer 20 triệu VND; offer vượt dải 30 triệu; ngày nhận việc 2026-10-15</x:v>
      </x:c>
      <x:c r="M263" s="20" t="str">
        <x:v>1. Chuẩn bị dữ liệu: Có ứng viên đã qua phỏng vấn, phiếu đánh giá và dải lương test.
2. Đăng nhập bằng tài khoản vai trò 'Người duyệt' được phép thao tác.
3. Mở chức năng 'duyệt offer theo hạn mức lương' trên môi trường staging.
4. Thử một bộ dữ liệu hợp lệ và một bộ thiếu/sai điều kiện bắt buộc; thực hiện Lưu/Gửi duyệt.
5. So sánh xác thực UI/API và dữ liệu được ghi.</x:v>
      </x:c>
      <x:c r="N263" s="20" t="str">
        <x:v>Offer trong dải chuẩn do Trưởng phòng Nhân sự duyệt; vượt dải chuẩn tự động thêm cấp duyệt cao hơn</x:v>
      </x:c>
      <x:c r="O263" s="20" t="str"/>
      <x:c r="P263" s="20" t="str">
        <x:v>Chưa chạy</x:v>
      </x:c>
      <x:c r="Q263" s="20" t="str"/>
      <x:c r="R263" s="20" t="str"/>
      <x:c r="S263" s="26" t="str"/>
      <x:c r="T263" s="20" t="str">
        <x:v>Ưu tiên tự động hóa</x:v>
      </x:c>
      <x:c r="U263" s="20" t="str">
        <x:v>Nguồn: 4. Product Backlog!F81, tiêu chí 1</x:v>
      </x:c>
      <x:c r="V263" s="20" t="str">
        <x:v>S7-05</x:v>
      </x:c>
      <x:c r="W263" s="20" t="str">
        <x:v>Backlog / AC</x:v>
      </x:c>
    </x:row>
    <x:row r="264" ht="92" customHeight="1">
      <x:c r="A264" s="20" t="str">
        <x:v>TC-S7-05-02</x:v>
      </x:c>
      <x:c r="B264" s="20" t="n">
        <x:v>7</x:v>
      </x:c>
      <x:c r="C264" s="20" t="str">
        <x:v>EP-07</x:v>
      </x:c>
      <x:c r="D264" s="20" t="str">
        <x:v>S7-05</x:v>
      </x:c>
      <x:c r="E264" s="20" t="str">
        <x:v>S7-05-AC02</x:v>
      </x:c>
      <x:c r="F264" s="20" t="str">
        <x:v>Offer &amp; Onboarding</x:v>
      </x:c>
      <x:c r="G264" s="20" t="str">
        <x:v>Ba hành động: Duyệt, Từ chối, Yêu cầu sửa — hai hành động sau bắt buộc nhập ý kiến</x:v>
      </x:c>
      <x:c r="H264" s="20" t="str">
        <x:v>Functional</x:v>
      </x:c>
      <x:c r="I264" s="20" t="str">
        <x:v>Critical</x:v>
      </x:c>
      <x:c r="J264" s="20" t="str">
        <x:v>Người duyệt</x:v>
      </x:c>
      <x:c r="K264" s="20" t="str">
        <x:v>Có ứng viên đã qua phỏng vấn, phiếu đánh giá và dải lương test.</x:v>
      </x:c>
      <x:c r="L264" s="20" t="str">
        <x:v>Offer 20 triệu VND; offer vượt dải 30 triệu; ngày nhận việc 2026-10-15</x:v>
      </x:c>
      <x:c r="M264" s="20" t="str">
        <x:v>1. Chuẩn bị dữ liệu: Có ứng viên đã qua phỏng vấn, phiếu đánh giá và dải lương test.
2. Đăng nhập bằng tài khoản vai trò 'Người duyệt' được phép thao tác.
3. Mở chức năng 'duyệt offer theo hạn mức lương' trên môi trường staging.
4. Thử một bộ dữ liệu hợp lệ và một bộ thiếu/sai điều kiện bắt buộc; thực hiện Lưu/Gửi duyệt.
5. So sánh xác thực UI/API và dữ liệu được ghi.</x:v>
      </x:c>
      <x:c r="N264" s="20" t="str">
        <x:v>Ba hành động: Duyệt, Từ chối, Yêu cầu sửa — hai hành động sau bắt buộc nhập ý kiến</x:v>
      </x:c>
      <x:c r="O264" s="20" t="str"/>
      <x:c r="P264" s="20" t="str">
        <x:v>Chưa chạy</x:v>
      </x:c>
      <x:c r="Q264" s="20" t="str"/>
      <x:c r="R264" s="20" t="str"/>
      <x:c r="S264" s="26" t="str"/>
      <x:c r="T264" s="20" t="str">
        <x:v>Ưu tiên tự động hóa</x:v>
      </x:c>
      <x:c r="U264" s="20" t="str">
        <x:v>Nguồn: 4. Product Backlog!F81, tiêu chí 2</x:v>
      </x:c>
      <x:c r="V264" s="20" t="str">
        <x:v>S7-05</x:v>
      </x:c>
      <x:c r="W264" s="20" t="str">
        <x:v>Backlog / AC</x:v>
      </x:c>
    </x:row>
    <x:row r="265" ht="92" customHeight="1">
      <x:c r="A265" s="20" t="str">
        <x:v>TC-S7-05-03</x:v>
      </x:c>
      <x:c r="B265" s="20" t="n">
        <x:v>7</x:v>
      </x:c>
      <x:c r="C265" s="20" t="str">
        <x:v>EP-07</x:v>
      </x:c>
      <x:c r="D265" s="20" t="str">
        <x:v>S7-05</x:v>
      </x:c>
      <x:c r="E265" s="20" t="str">
        <x:v>S7-05-AC03</x:v>
      </x:c>
      <x:c r="F265" s="20" t="str">
        <x:v>Offer &amp; Onboarding</x:v>
      </x:c>
      <x:c r="G265" s="20" t="str">
        <x:v>Lịch sử duyệt không sửa và không xoá được</x:v>
      </x:c>
      <x:c r="H265" s="20" t="str">
        <x:v>Functional</x:v>
      </x:c>
      <x:c r="I265" s="20" t="str">
        <x:v>Critical</x:v>
      </x:c>
      <x:c r="J265" s="20" t="str">
        <x:v>Người duyệt</x:v>
      </x:c>
      <x:c r="K265" s="20" t="str">
        <x:v>Có ứng viên đã qua phỏng vấn, phiếu đánh giá và dải lương test.</x:v>
      </x:c>
      <x:c r="L265" s="20" t="str">
        <x:v>Offer 20 triệu VND; offer vượt dải 30 triệu; ngày nhận việc 2026-10-15</x:v>
      </x:c>
      <x:c r="M265" s="20" t="str">
        <x:v>1. Chuẩn bị dữ liệu: Có ứng viên đã qua phỏng vấn, phiếu đánh giá và dải lương test.
2. Đăng nhập bằng tài khoản vai trò 'Người duyệt' được phép thao tác.
3. Mở chức năng 'duyệt offer theo hạn mức lương' trên môi trường staging.
4. Thực hiện ít nhất hai thao tác ở thời điểm và tài khoản khác nhau; mở lịch sử/nhật ký.
5. Đối chiếu actor, hành động, dấu thời gian và thứ tự sự kiện.</x:v>
      </x:c>
      <x:c r="N265" s="20" t="str">
        <x:v>Lịch sử duyệt không sửa và không xoá được</x:v>
      </x:c>
      <x:c r="O265" s="20" t="str"/>
      <x:c r="P265" s="20" t="str">
        <x:v>Chưa chạy</x:v>
      </x:c>
      <x:c r="Q265" s="20" t="str"/>
      <x:c r="R265" s="20" t="str"/>
      <x:c r="S265" s="26" t="str"/>
      <x:c r="T265" s="20" t="str">
        <x:v>Ưu tiên tự động hóa</x:v>
      </x:c>
      <x:c r="U265" s="20" t="str">
        <x:v>Nguồn: 4. Product Backlog!F81, tiêu chí 3</x:v>
      </x:c>
      <x:c r="V265" s="20" t="str">
        <x:v>S7-05</x:v>
      </x:c>
      <x:c r="W265" s="20" t="str">
        <x:v>Backlog / AC</x:v>
      </x:c>
    </x:row>
    <x:row r="266" ht="92" customHeight="1">
      <x:c r="A266" s="20" t="str">
        <x:v>TC-S7-05-X01</x:v>
      </x:c>
      <x:c r="B266" s="20" t="n">
        <x:v>7</x:v>
      </x:c>
      <x:c r="C266" s="20" t="str">
        <x:v>EP-07</x:v>
      </x:c>
      <x:c r="D266" s="20" t="str">
        <x:v>S7-05</x:v>
      </x:c>
      <x:c r="E266" s="20" t="str">
        <x:v>QA-EXTRA</x:v>
      </x:c>
      <x:c r="F266" s="20" t="str">
        <x:v>Offer &amp; Onboarding</x:v>
      </x:c>
      <x:c r="G266" s="20" t="str">
        <x:v>Offer vượt lương không thể tự duyệt bằng sửa payload</x:v>
      </x:c>
      <x:c r="H266" s="20" t="str">
        <x:v>Security / RBAC</x:v>
      </x:c>
      <x:c r="I266" s="20" t="str">
        <x:v>Critical</x:v>
      </x:c>
      <x:c r="J266" s="20" t="str">
        <x:v>Người duyệt</x:v>
      </x:c>
      <x:c r="K266" s="20" t="str">
        <x:v>Có ứng viên đã qua phỏng vấn, phiếu đánh giá và dải lương test.</x:v>
      </x:c>
      <x:c r="L266" s="20" t="str">
        <x:v>Offer vượt dải 30 triệu; HR Manager</x:v>
      </x:c>
      <x:c r="M266" s="20" t="str">
        <x:v>1. HR cố gửi approval level cuối trực tiếp
2. Dùng quyền Approver cấp cao phê duyệt
3. Xem audit</x:v>
      </x:c>
      <x:c r="N266" s="20" t="str">
        <x:v>Server giữ đúng chuỗi duyệt; chỉ cấp có quyền hoàn tất offer</x:v>
      </x:c>
      <x:c r="O266" s="20" t="str"/>
      <x:c r="P266" s="20" t="str">
        <x:v>Chưa chạy</x:v>
      </x:c>
      <x:c r="Q266" s="20" t="str"/>
      <x:c r="R266" s="20" t="str"/>
      <x:c r="S266" s="26" t="str"/>
      <x:c r="T266" s="20" t="str">
        <x:v>Ưu tiên tự động hóa</x:v>
      </x:c>
      <x:c r="U266" s="20" t="str">
        <x:v>Kịch bản rủi ro/biên; nếu vượt yêu cầu backlog, xác nhận PO.</x:v>
      </x:c>
      <x:c r="V266" s="20" t="str">
        <x:v>S7-05</x:v>
      </x:c>
      <x:c r="W266" s="20" t="str">
        <x:v>Bổ sung QA</x:v>
      </x:c>
    </x:row>
    <x:row r="267" ht="92" customHeight="1">
      <x:c r="A267" s="20" t="str">
        <x:v>TC-S7-06-01</x:v>
      </x:c>
      <x:c r="B267" s="20" t="n">
        <x:v>7</x:v>
      </x:c>
      <x:c r="C267" s="20" t="str">
        <x:v>EP-07</x:v>
      </x:c>
      <x:c r="D267" s="20" t="str">
        <x:v>S7-06</x:v>
      </x:c>
      <x:c r="E267" s="20" t="str">
        <x:v>S7-06-AC01</x:v>
      </x:c>
      <x:c r="F267" s="20" t="str">
        <x:v>Offer &amp; Onboarding</x:v>
      </x:c>
      <x:c r="G267" s="20" t="str">
        <x:v>Email chứa nội dung offer và liên kết phản hồi có hiệu lực tới hết thời hạn</x:v>
      </x:c>
      <x:c r="H267" s="20" t="str">
        <x:v>Functional</x:v>
      </x:c>
      <x:c r="I267" s="20" t="str">
        <x:v>Critical</x:v>
      </x:c>
      <x:c r="J267" s="20" t="str">
        <x:v>Ứng viên</x:v>
      </x:c>
      <x:c r="K267" s="20" t="str">
        <x:v>Có ứng viên đã qua phỏng vấn, phiếu đánh giá và dải lương test.</x:v>
      </x:c>
      <x:c r="L267" s="20" t="str">
        <x:v>Offer 20 triệu VND; offer vượt dải 30 triệu; ngày nhận việc 2026-10-15</x:v>
      </x:c>
      <x:c r="M267" s="20" t="str">
        <x:v>1. Chuẩn bị dữ liệu: Có ứng viên đã qua phỏng vấn, phiếu đánh giá và dải lương test.
2. Mở cổng tuyển dụng công khai / đường dẫn gửi tới ứng viên.
3. Mở chức năng 'nhận thư mời nhận việc và phản hồi' trên môi trường staging.
4. Thực hiện thao tác phát sinh email/thông báo; đọc hộp thư sandbox và thông báo trong ứng dụng.
5. Đối chiếu người nhận, nội dung, thời điểm, trạng thái và việc chống gửi trùng.</x:v>
      </x:c>
      <x:c r="N267" s="20" t="str">
        <x:v>Email chứa nội dung offer và liên kết phản hồi có hiệu lực tới hết thời hạn</x:v>
      </x:c>
      <x:c r="O267" s="20" t="str"/>
      <x:c r="P267" s="20" t="str">
        <x:v>Chưa chạy</x:v>
      </x:c>
      <x:c r="Q267" s="20" t="str"/>
      <x:c r="R267" s="20" t="str"/>
      <x:c r="S267" s="26" t="str"/>
      <x:c r="T267" s="20" t="str">
        <x:v>Ưu tiên tự động hóa</x:v>
      </x:c>
      <x:c r="U267" s="20" t="str">
        <x:v>Nguồn: 4. Product Backlog!F82, tiêu chí 1</x:v>
      </x:c>
      <x:c r="V267" s="20" t="str">
        <x:v>S7-06</x:v>
      </x:c>
      <x:c r="W267" s="20" t="str">
        <x:v>Backlog / AC</x:v>
      </x:c>
    </x:row>
    <x:row r="268" ht="92" customHeight="1">
      <x:c r="A268" s="20" t="str">
        <x:v>TC-S7-06-02</x:v>
      </x:c>
      <x:c r="B268" s="20" t="n">
        <x:v>7</x:v>
      </x:c>
      <x:c r="C268" s="20" t="str">
        <x:v>EP-07</x:v>
      </x:c>
      <x:c r="D268" s="20" t="str">
        <x:v>S7-06</x:v>
      </x:c>
      <x:c r="E268" s="20" t="str">
        <x:v>S7-06-AC02</x:v>
      </x:c>
      <x:c r="F268" s="20" t="str">
        <x:v>Offer &amp; Onboarding</x:v>
      </x:c>
      <x:c r="G268" s="20" t="str">
        <x:v>Ứng viên chọn Chấp nhận hoặc Từ chối, có ô ghi ý kiến</x:v>
      </x:c>
      <x:c r="H268" s="20" t="str">
        <x:v>Functional</x:v>
      </x:c>
      <x:c r="I268" s="20" t="str">
        <x:v>Critical</x:v>
      </x:c>
      <x:c r="J268" s="20" t="str">
        <x:v>Ứng viên</x:v>
      </x:c>
      <x:c r="K268" s="20" t="str">
        <x:v>Có ứng viên đã qua phỏng vấn, phiếu đánh giá và dải lương test.</x:v>
      </x:c>
      <x:c r="L268" s="20" t="str">
        <x:v>Offer 20 triệu VND; offer vượt dải 30 triệu; ngày nhận việc 2026-10-15</x:v>
      </x:c>
      <x:c r="M268" s="20" t="str">
        <x:v>1. Chuẩn bị dữ liệu: Có ứng viên đã qua phỏng vấn, phiếu đánh giá và dải lương test.
2. Mở cổng tuyển dụng công khai / đường dẫn gửi tới ứng viên.
3. Mở chức năng 'nhận thư mời nhận việc và phản hồi' trên môi trường staging.
4. Mở offer email sandbox
5. bấm Chấp nhận và nhập ý kiến
6. với offer khác bấm Từ chối
7. đọc API hai phản hồi.
8. Ghi kết quả thực tế và đối chiếu tiêu chí S7-06-AC02.</x:v>
      </x:c>
      <x:c r="N268" s="20" t="str">
        <x:v>Ứng viên chọn Chấp nhận hoặc Từ chối, có ô ghi ý kiến</x:v>
      </x:c>
      <x:c r="O268" s="20" t="str"/>
      <x:c r="P268" s="20" t="str">
        <x:v>Chưa chạy</x:v>
      </x:c>
      <x:c r="Q268" s="20" t="str"/>
      <x:c r="R268" s="20" t="str"/>
      <x:c r="S268" s="26" t="str"/>
      <x:c r="T268" s="20" t="str">
        <x:v>Ưu tiên tự động hóa</x:v>
      </x:c>
      <x:c r="U268" s="20" t="str">
        <x:v>Nguồn: 4. Product Backlog!F82, tiêu chí 2</x:v>
      </x:c>
      <x:c r="V268" s="20" t="str">
        <x:v>S7-06</x:v>
      </x:c>
      <x:c r="W268" s="20" t="str">
        <x:v>Backlog / AC</x:v>
      </x:c>
    </x:row>
    <x:row r="269" ht="92" customHeight="1">
      <x:c r="A269" s="20" t="str">
        <x:v>TC-S7-06-03</x:v>
      </x:c>
      <x:c r="B269" s="20" t="n">
        <x:v>7</x:v>
      </x:c>
      <x:c r="C269" s="20" t="str">
        <x:v>EP-07</x:v>
      </x:c>
      <x:c r="D269" s="20" t="str">
        <x:v>S7-06</x:v>
      </x:c>
      <x:c r="E269" s="20" t="str">
        <x:v>S7-06-AC03</x:v>
      </x:c>
      <x:c r="F269" s="20" t="str">
        <x:v>Offer &amp; Onboarding</x:v>
      </x:c>
      <x:c r="G269" s="20" t="str">
        <x:v>Phản hồi cập nhật ngay trạng thái trên pipeline</x:v>
      </x:c>
      <x:c r="H269" s="20" t="str">
        <x:v>Functional</x:v>
      </x:c>
      <x:c r="I269" s="20" t="str">
        <x:v>Critical</x:v>
      </x:c>
      <x:c r="J269" s="20" t="str">
        <x:v>Ứng viên</x:v>
      </x:c>
      <x:c r="K269" s="20" t="str">
        <x:v>Có ứng viên đã qua phỏng vấn, phiếu đánh giá và dải lương test.</x:v>
      </x:c>
      <x:c r="L269" s="20" t="str">
        <x:v>Offer 20 triệu VND; offer vượt dải 30 triệu; ngày nhận việc 2026-10-15</x:v>
      </x:c>
      <x:c r="M269" s="20" t="str">
        <x:v>1. Chuẩn bị dữ liệu: Có ứng viên đã qua phỏng vấn, phiếu đánh giá và dải lương test.
2. Mở cổng tuyển dụng công khai / đường dẫn gửi tới ứng viên.
3. Mở chức năng 'nhận thư mời nhận việc và phản hồi' trên môi trường staging.
4. Ứng viên chấp nhận offer
5. Recruiter reload kanban, profile và thông báo
6. kiểm tra mọi nơi cùng trạng thái.
7. Ghi kết quả thực tế và đối chiếu tiêu chí S7-06-AC03.</x:v>
      </x:c>
      <x:c r="N269" s="20" t="str">
        <x:v>Phản hồi cập nhật ngay trạng thái trên pipeline</x:v>
      </x:c>
      <x:c r="O269" s="20" t="str"/>
      <x:c r="P269" s="20" t="str">
        <x:v>Chưa chạy</x:v>
      </x:c>
      <x:c r="Q269" s="20" t="str"/>
      <x:c r="R269" s="20" t="str"/>
      <x:c r="S269" s="26" t="str"/>
      <x:c r="T269" s="20" t="str">
        <x:v>Ưu tiên tự động hóa</x:v>
      </x:c>
      <x:c r="U269" s="20" t="str">
        <x:v>Nguồn: 4. Product Backlog!F82, tiêu chí 3</x:v>
      </x:c>
      <x:c r="V269" s="20" t="str">
        <x:v>S7-06</x:v>
      </x:c>
      <x:c r="W269" s="20" t="str">
        <x:v>Backlog / AC</x:v>
      </x:c>
    </x:row>
    <x:row r="270" ht="92" customHeight="1">
      <x:c r="A270" s="20" t="str">
        <x:v>TC-S7-06-04</x:v>
      </x:c>
      <x:c r="B270" s="20" t="n">
        <x:v>7</x:v>
      </x:c>
      <x:c r="C270" s="20" t="str">
        <x:v>EP-07</x:v>
      </x:c>
      <x:c r="D270" s="20" t="str">
        <x:v>S7-06</x:v>
      </x:c>
      <x:c r="E270" s="20" t="str">
        <x:v>S7-06-AC04</x:v>
      </x:c>
      <x:c r="F270" s="20" t="str">
        <x:v>Offer &amp; Onboarding</x:v>
      </x:c>
      <x:c r="G270" s="20" t="str">
        <x:v>Quá thời hạn mà không phản hồi thì offer tự chuyển sang Hết hạn</x:v>
      </x:c>
      <x:c r="H270" s="20" t="str">
        <x:v>Functional</x:v>
      </x:c>
      <x:c r="I270" s="20" t="str">
        <x:v>Critical</x:v>
      </x:c>
      <x:c r="J270" s="20" t="str">
        <x:v>Ứng viên</x:v>
      </x:c>
      <x:c r="K270" s="20" t="str">
        <x:v>Có ứng viên đã qua phỏng vấn, phiếu đánh giá và dải lương test.</x:v>
      </x:c>
      <x:c r="L270" s="20" t="str">
        <x:v>Offer 20 triệu VND; offer vượt dải 30 triệu; ngày nhận việc 2026-10-15</x:v>
      </x:c>
      <x:c r="M270" s="20" t="str">
        <x:v>1. Chuẩn bị dữ liệu: Có ứng viên đã qua phỏng vấn, phiếu đánh giá và dải lương test.
2. Mở cổng tuyển dụng công khai / đường dẫn gửi tới ứng viên.
3. Mở chức năng 'nhận thư mời nhận việc và phản hồi' trên môi trường staging.
4. Tạo offer có deadline đã qua
5. chạy job hết hạn
6. mở link cũ và kiểm tra trạng thái ở UI/API.
7. Ghi kết quả thực tế và đối chiếu tiêu chí S7-06-AC04.</x:v>
      </x:c>
      <x:c r="N270" s="20" t="str">
        <x:v>Quá thời hạn mà không phản hồi thì offer tự chuyển sang Hết hạn</x:v>
      </x:c>
      <x:c r="O270" s="20" t="str"/>
      <x:c r="P270" s="20" t="str">
        <x:v>Chưa chạy</x:v>
      </x:c>
      <x:c r="Q270" s="20" t="str"/>
      <x:c r="R270" s="20" t="str"/>
      <x:c r="S270" s="26" t="str"/>
      <x:c r="T270" s="20" t="str">
        <x:v>Ưu tiên tự động hóa</x:v>
      </x:c>
      <x:c r="U270" s="20" t="str">
        <x:v>Nguồn: 4. Product Backlog!F82, tiêu chí 4</x:v>
      </x:c>
      <x:c r="V270" s="20" t="str">
        <x:v>S7-06</x:v>
      </x:c>
      <x:c r="W270" s="20" t="str">
        <x:v>Backlog / AC</x:v>
      </x:c>
    </x:row>
    <x:row r="271" ht="92" customHeight="1">
      <x:c r="A271" s="20" t="str">
        <x:v>TC-S7-06-X01</x:v>
      </x:c>
      <x:c r="B271" s="20" t="n">
        <x:v>7</x:v>
      </x:c>
      <x:c r="C271" s="20" t="str">
        <x:v>EP-07</x:v>
      </x:c>
      <x:c r="D271" s="20" t="str">
        <x:v>S7-06</x:v>
      </x:c>
      <x:c r="E271" s="20" t="str">
        <x:v>QA-EXTRA</x:v>
      </x:c>
      <x:c r="F271" s="20" t="str">
        <x:v>Offer &amp; Onboarding</x:v>
      </x:c>
      <x:c r="G271" s="20" t="str">
        <x:v>Phản hồi offer sát thời điểm hết hạn</x:v>
      </x:c>
      <x:c r="H271" s="20" t="str">
        <x:v>Boundary</x:v>
      </x:c>
      <x:c r="I271" s="20" t="str">
        <x:v>Critical</x:v>
      </x:c>
      <x:c r="J271" s="20" t="str">
        <x:v>Ứng viên</x:v>
      </x:c>
      <x:c r="K271" s="20" t="str">
        <x:v>Có ứng viên đã qua phỏng vấn, phiếu đánh giá và dải lương test.</x:v>
      </x:c>
      <x:c r="L271" s="20" t="str">
        <x:v>Offer hết hạn 23:59:59 giờ Việt Nam</x:v>
      </x:c>
      <x:c r="M271" s="20" t="str">
        <x:v>1. Phản hồi trước hết hạn 1 giây
2. Thử link của offer khác sau hết hạn 1 giây</x:v>
      </x:c>
      <x:c r="N271" s="20" t="str">
        <x:v>Phản hồi đúng hạn được lưu; hết hạn bị chặn và trạng thái cập nhật nhất quán</x:v>
      </x:c>
      <x:c r="O271" s="20" t="str"/>
      <x:c r="P271" s="20" t="str">
        <x:v>Chưa chạy</x:v>
      </x:c>
      <x:c r="Q271" s="20" t="str"/>
      <x:c r="R271" s="20" t="str"/>
      <x:c r="S271" s="26" t="str"/>
      <x:c r="T271" s="20" t="str">
        <x:v>Ưu tiên tự động hóa</x:v>
      </x:c>
      <x:c r="U271" s="20" t="str">
        <x:v>Kịch bản rủi ro/biên; nếu vượt yêu cầu backlog, xác nhận PO.</x:v>
      </x:c>
      <x:c r="V271" s="20" t="str">
        <x:v>S7-06</x:v>
      </x:c>
      <x:c r="W271" s="20" t="str">
        <x:v>Bổ sung QA</x:v>
      </x:c>
    </x:row>
    <x:row r="272" ht="92" customHeight="1">
      <x:c r="A272" s="20" t="str">
        <x:v>TC-S7-07-01</x:v>
      </x:c>
      <x:c r="B272" s="20" t="n">
        <x:v>7</x:v>
      </x:c>
      <x:c r="C272" s="20" t="str">
        <x:v>EP-07</x:v>
      </x:c>
      <x:c r="D272" s="20" t="str">
        <x:v>S7-07</x:v>
      </x:c>
      <x:c r="E272" s="20" t="str">
        <x:v>S7-07-AC01</x:v>
      </x:c>
      <x:c r="F272" s="20" t="str">
        <x:v>Offer &amp; Onboarding</x:v>
      </x:c>
      <x:c r="G272" s="20" t="str">
        <x:v>Ghi lý do từ chối theo danh mục: lương, địa điểm, nhận việc nơi khác, lý do cá nhân</x:v>
      </x:c>
      <x:c r="H272" s="20" t="str">
        <x:v>Functional</x:v>
      </x:c>
      <x:c r="I272" s="20" t="str">
        <x:v>High</x:v>
      </x:c>
      <x:c r="J272" s="20" t="str">
        <x:v>Nhân viên tuyển dụng</x:v>
      </x:c>
      <x:c r="K272" s="20" t="str">
        <x:v>Có ứng viên đã qua phỏng vấn, phiếu đánh giá và dải lương test.</x:v>
      </x:c>
      <x:c r="L272" s="20" t="str">
        <x:v>Offer 20 triệu VND; offer vượt dải 30 triệu; ngày nhận việc 2026-10-15</x:v>
      </x:c>
      <x:c r="M272" s="20" t="str">
        <x:v>1. Chuẩn bị dữ liệu: Có ứng viên đã qua phỏng vấn, phiếu đánh giá và dải lương test.
2. Đăng nhập bằng tài khoản vai trò 'Nhân viên tuyển dụng' được phép thao tác.
3. Mở chức năng 'xử lý ứng viên từ chối offer hoặc thương lượng lại' trên môi trường staging.
4. Recruiter ghi lý do từ chối theo bốn giá trị danh mục ở các offer thử
5. xem báo cáo/timeline.
6. Ghi kết quả thực tế và đối chiếu tiêu chí S7-07-AC01.</x:v>
      </x:c>
      <x:c r="N272" s="20" t="str">
        <x:v>Ghi lý do từ chối theo danh mục: lương, địa điểm, nhận việc nơi khác, lý do cá nhân</x:v>
      </x:c>
      <x:c r="O272" s="20" t="str"/>
      <x:c r="P272" s="20" t="str">
        <x:v>Chưa chạy</x:v>
      </x:c>
      <x:c r="Q272" s="20" t="str"/>
      <x:c r="R272" s="20" t="str"/>
      <x:c r="S272" s="26" t="str"/>
      <x:c r="T272" s="20" t="str">
        <x:v>Ưu tiên tự động hóa</x:v>
      </x:c>
      <x:c r="U272" s="20" t="str">
        <x:v>Nguồn: 4. Product Backlog!F83, tiêu chí 1</x:v>
      </x:c>
      <x:c r="V272" s="20" t="str">
        <x:v>S7-07</x:v>
      </x:c>
      <x:c r="W272" s="20" t="str">
        <x:v>Backlog / AC</x:v>
      </x:c>
    </x:row>
    <x:row r="273" ht="92" customHeight="1">
      <x:c r="A273" s="20" t="str">
        <x:v>TC-S7-07-02</x:v>
      </x:c>
      <x:c r="B273" s="20" t="n">
        <x:v>7</x:v>
      </x:c>
      <x:c r="C273" s="20" t="str">
        <x:v>EP-07</x:v>
      </x:c>
      <x:c r="D273" s="20" t="str">
        <x:v>S7-07</x:v>
      </x:c>
      <x:c r="E273" s="20" t="str">
        <x:v>S7-07-AC02</x:v>
      </x:c>
      <x:c r="F273" s="20" t="str">
        <x:v>Offer &amp; Onboarding</x:v>
      </x:c>
      <x:c r="G273" s="20" t="str">
        <x:v>Tạo được offer sửa đổi, offer cũ chuyển sang trạng thái Đã thay thế</x:v>
      </x:c>
      <x:c r="H273" s="20" t="str">
        <x:v>Functional</x:v>
      </x:c>
      <x:c r="I273" s="20" t="str">
        <x:v>High</x:v>
      </x:c>
      <x:c r="J273" s="20" t="str">
        <x:v>Nhân viên tuyển dụng</x:v>
      </x:c>
      <x:c r="K273" s="20" t="str">
        <x:v>Có ứng viên đã qua phỏng vấn, phiếu đánh giá và dải lương test.</x:v>
      </x:c>
      <x:c r="L273" s="20" t="str">
        <x:v>Offer 20 triệu VND; offer vượt dải 30 triệu; ngày nhận việc 2026-10-15</x:v>
      </x:c>
      <x:c r="M273" s="20" t="str">
        <x:v>1. Chuẩn bị dữ liệu: Có ứng viên đã qua phỏng vấn, phiếu đánh giá và dải lương test.
2. Đăng nhập bằng tài khoản vai trò 'Nhân viên tuyển dụng' được phép thao tác.
3. Mở chức năng 'xử lý ứng viên từ chối offer hoặc thương lượng lại' trên môi trường staging.
4. Từ offer bị từ chối tạo offer mới sửa lương
5. mở hai offer và kiểm tra hiệu lực/quan hệ thay thế.
6. Ghi kết quả thực tế và đối chiếu tiêu chí S7-07-AC02.</x:v>
      </x:c>
      <x:c r="N273" s="20" t="str">
        <x:v>Tạo được offer sửa đổi, offer cũ chuyển sang trạng thái Đã thay thế</x:v>
      </x:c>
      <x:c r="O273" s="20" t="str"/>
      <x:c r="P273" s="20" t="str">
        <x:v>Chưa chạy</x:v>
      </x:c>
      <x:c r="Q273" s="20" t="str"/>
      <x:c r="R273" s="20" t="str"/>
      <x:c r="S273" s="26" t="str"/>
      <x:c r="T273" s="20" t="str">
        <x:v>Ưu tiên tự động hóa</x:v>
      </x:c>
      <x:c r="U273" s="20" t="str">
        <x:v>Nguồn: 4. Product Backlog!F83, tiêu chí 2</x:v>
      </x:c>
      <x:c r="V273" s="20" t="str">
        <x:v>S7-07</x:v>
      </x:c>
      <x:c r="W273" s="20" t="str">
        <x:v>Backlog / AC</x:v>
      </x:c>
    </x:row>
    <x:row r="274" ht="92" customHeight="1">
      <x:c r="A274" s="20" t="str">
        <x:v>TC-S7-07-03</x:v>
      </x:c>
      <x:c r="B274" s="20" t="n">
        <x:v>7</x:v>
      </x:c>
      <x:c r="C274" s="20" t="str">
        <x:v>EP-07</x:v>
      </x:c>
      <x:c r="D274" s="20" t="str">
        <x:v>S7-07</x:v>
      </x:c>
      <x:c r="E274" s="20" t="str">
        <x:v>S7-07-AC03</x:v>
      </x:c>
      <x:c r="F274" s="20" t="str">
        <x:v>Offer &amp; Onboarding</x:v>
      </x:c>
      <x:c r="G274" s="20" t="str">
        <x:v>Ứng viên từ chối được gợi ý đưa vào kho tiềm năng</x:v>
      </x:c>
      <x:c r="H274" s="20" t="str">
        <x:v>Functional</x:v>
      </x:c>
      <x:c r="I274" s="20" t="str">
        <x:v>High</x:v>
      </x:c>
      <x:c r="J274" s="20" t="str">
        <x:v>Nhân viên tuyển dụng</x:v>
      </x:c>
      <x:c r="K274" s="20" t="str">
        <x:v>Có ứng viên đã qua phỏng vấn, phiếu đánh giá và dải lương test.</x:v>
      </x:c>
      <x:c r="L274" s="20" t="str">
        <x:v>Offer 20 triệu VND; offer vượt dải 30 triệu; ngày nhận việc 2026-10-15</x:v>
      </x:c>
      <x:c r="M274" s="20" t="str">
        <x:v>1. Chuẩn bị dữ liệu: Có ứng viên đã qua phỏng vấn, phiếu đánh giá và dải lương test.
2. Đăng nhập bằng tài khoản vai trò 'Nhân viên tuyển dụng' được phép thao tác.
3. Mở chức năng 'xử lý ứng viên từ chối offer hoặc thương lượng lại' trên môi trường staging.
4. Ứng viên từ chối offer
5. Recruiter mở đề xuất đưa vào talent pool và kiểm tra lý do lịch sử.
6. Ghi kết quả thực tế và đối chiếu tiêu chí S7-07-AC03.</x:v>
      </x:c>
      <x:c r="N274" s="20" t="str">
        <x:v>Ứng viên từ chối được gợi ý đưa vào kho tiềm năng</x:v>
      </x:c>
      <x:c r="O274" s="20" t="str"/>
      <x:c r="P274" s="20" t="str">
        <x:v>Chưa chạy</x:v>
      </x:c>
      <x:c r="Q274" s="20" t="str"/>
      <x:c r="R274" s="20" t="str"/>
      <x:c r="S274" s="26" t="str"/>
      <x:c r="T274" s="20" t="str">
        <x:v>Ưu tiên tự động hóa</x:v>
      </x:c>
      <x:c r="U274" s="20" t="str">
        <x:v>Nguồn: 4. Product Backlog!F83, tiêu chí 3</x:v>
      </x:c>
      <x:c r="V274" s="20" t="str">
        <x:v>S7-07</x:v>
      </x:c>
      <x:c r="W274" s="20" t="str">
        <x:v>Backlog / AC</x:v>
      </x:c>
    </x:row>
    <x:row r="275" ht="92" customHeight="1">
      <x:c r="A275" s="20" t="str">
        <x:v>TC-S7-07-X01</x:v>
      </x:c>
      <x:c r="B275" s="20" t="n">
        <x:v>7</x:v>
      </x:c>
      <x:c r="C275" s="20" t="str">
        <x:v>EP-07</x:v>
      </x:c>
      <x:c r="D275" s="20" t="str">
        <x:v>S7-07</x:v>
      </x:c>
      <x:c r="E275" s="20" t="str">
        <x:v>QA-EXTRA</x:v>
      </x:c>
      <x:c r="F275" s="20" t="str">
        <x:v>Offer &amp; Onboarding</x:v>
      </x:c>
      <x:c r="G275" s="20" t="str">
        <x:v>Thương lượng phải đánh dấu offer cũ đã thay thế</x:v>
      </x:c>
      <x:c r="H275" s="20" t="str">
        <x:v>Data integrity</x:v>
      </x:c>
      <x:c r="I275" s="20" t="str">
        <x:v>High</x:v>
      </x:c>
      <x:c r="J275" s="20" t="str">
        <x:v>Nhân viên tuyển dụng</x:v>
      </x:c>
      <x:c r="K275" s="20" t="str">
        <x:v>Có ứng viên đã qua phỏng vấn, phiếu đánh giá và dải lương test.</x:v>
      </x:c>
      <x:c r="L275" s="20" t="str">
        <x:v>Offer A bị từ chối lương và Offer B sửa đổi</x:v>
      </x:c>
      <x:c r="M275" s="20" t="str">
        <x:v>1. Tạo B từ A
2. Gửi B duyệt
3. Mở link A
4. Kiểm tra pipeline</x:v>
      </x:c>
      <x:c r="N275" s="20" t="str">
        <x:v>A không còn hiệu lực, B là bản duy nhất hiệu lực; lịch sử từ chối được giữ</x:v>
      </x:c>
      <x:c r="O275" s="20" t="str"/>
      <x:c r="P275" s="20" t="str">
        <x:v>Chưa chạy</x:v>
      </x:c>
      <x:c r="Q275" s="20" t="str"/>
      <x:c r="R275" s="20" t="str"/>
      <x:c r="S275" s="26" t="str"/>
      <x:c r="T275" s="20" t="str">
        <x:v>Ưu tiên tự động hóa</x:v>
      </x:c>
      <x:c r="U275" s="20" t="str">
        <x:v>Kịch bản rủi ro/biên; nếu vượt yêu cầu backlog, xác nhận PO.</x:v>
      </x:c>
      <x:c r="V275" s="20" t="str">
        <x:v>S7-07</x:v>
      </x:c>
      <x:c r="W275" s="20" t="str">
        <x:v>Bổ sung QA</x:v>
      </x:c>
    </x:row>
    <x:row r="276" ht="92" customHeight="1">
      <x:c r="A276" s="20" t="str">
        <x:v>TC-S7-08-01</x:v>
      </x:c>
      <x:c r="B276" s="20" t="n">
        <x:v>7</x:v>
      </x:c>
      <x:c r="C276" s="20" t="str">
        <x:v>EP-07</x:v>
      </x:c>
      <x:c r="D276" s="20" t="str">
        <x:v>S7-08</x:v>
      </x:c>
      <x:c r="E276" s="20" t="str">
        <x:v>S7-08-AC01</x:v>
      </x:c>
      <x:c r="F276" s="20" t="str">
        <x:v>Offer &amp; Onboarding</x:v>
      </x:c>
      <x:c r="G276" s="20" t="str">
        <x:v>Checklist sinh từ mẫu theo phòng ban: tài khoản, thiết bị, chỗ ngồi, hồ sơ giấy tờ</x:v>
      </x:c>
      <x:c r="H276" s="20" t="str">
        <x:v>Functional</x:v>
      </x:c>
      <x:c r="I276" s="20" t="str">
        <x:v>High</x:v>
      </x:c>
      <x:c r="J276" s="20" t="str">
        <x:v>Trưởng phòng Nhân sự</x:v>
      </x:c>
      <x:c r="K276" s="20" t="str">
        <x:v>Có ứng viên đã qua phỏng vấn, phiếu đánh giá và dải lương test.</x:v>
      </x:c>
      <x:c r="L276" s="20" t="str">
        <x:v>Offer 20 triệu VND; offer vượt dải 30 triệu; ngày nhận việc 2026-10-15</x:v>
      </x:c>
      <x:c r="M276" s="20" t="str">
        <x:v>1. Chuẩn bị dữ liệu: Có ứng viên đã qua phỏng vấn, phiếu đánh giá và dải lương test.
2. Đăng nhập bằng tài khoản vai trò 'Trưởng phòng Nhân sự' được phép thao tác.
3. Mở chức năng 'khởi tạo checklist onboarding cho người đã nhận việc' trên môi trường staging.
4. HR chọn mẫu onboarding phòng Công nghệ
5. tạo checklist 4 hạng mục
6. đối chiếu nội dung mẫu.
7. Ghi kết quả thực tế và đối chiếu tiêu chí S7-08-AC01.</x:v>
      </x:c>
      <x:c r="N276" s="20" t="str">
        <x:v>Checklist sinh từ mẫu theo phòng ban: tài khoản, thiết bị, chỗ ngồi, hồ sơ giấy tờ</x:v>
      </x:c>
      <x:c r="O276" s="20" t="str"/>
      <x:c r="P276" s="20" t="str">
        <x:v>Chưa chạy</x:v>
      </x:c>
      <x:c r="Q276" s="20" t="str"/>
      <x:c r="R276" s="20" t="str"/>
      <x:c r="S276" s="26" t="str"/>
      <x:c r="T276" s="20" t="str">
        <x:v>Ưu tiên tự động hóa</x:v>
      </x:c>
      <x:c r="U276" s="20" t="str">
        <x:v>Nguồn: 4. Product Backlog!F84, tiêu chí 1</x:v>
      </x:c>
      <x:c r="V276" s="20" t="str">
        <x:v>S7-08</x:v>
      </x:c>
      <x:c r="W276" s="20" t="str">
        <x:v>Backlog / AC</x:v>
      </x:c>
    </x:row>
    <x:row r="277" ht="92" customHeight="1">
      <x:c r="A277" s="20" t="str">
        <x:v>TC-S7-08-02</x:v>
      </x:c>
      <x:c r="B277" s="20" t="n">
        <x:v>7</x:v>
      </x:c>
      <x:c r="C277" s="20" t="str">
        <x:v>EP-07</x:v>
      </x:c>
      <x:c r="D277" s="20" t="str">
        <x:v>S7-08</x:v>
      </x:c>
      <x:c r="E277" s="20" t="str">
        <x:v>S7-08-AC02</x:v>
      </x:c>
      <x:c r="F277" s="20" t="str">
        <x:v>Offer &amp; Onboarding</x:v>
      </x:c>
      <x:c r="G277" s="20" t="str">
        <x:v>Mỗi mục có người phụ trách và hạn hoàn thành</x:v>
      </x:c>
      <x:c r="H277" s="20" t="str">
        <x:v>Functional</x:v>
      </x:c>
      <x:c r="I277" s="20" t="str">
        <x:v>High</x:v>
      </x:c>
      <x:c r="J277" s="20" t="str">
        <x:v>Trưởng phòng Nhân sự</x:v>
      </x:c>
      <x:c r="K277" s="20" t="str">
        <x:v>Có ứng viên đã qua phỏng vấn, phiếu đánh giá và dải lương test.</x:v>
      </x:c>
      <x:c r="L277" s="20" t="str">
        <x:v>Offer 20 triệu VND; offer vượt dải 30 triệu; ngày nhận việc 2026-10-15</x:v>
      </x:c>
      <x:c r="M277" s="20" t="str">
        <x:v>1. Chuẩn bị dữ liệu: Có ứng viên đã qua phỏng vấn, phiếu đánh giá và dải lương test.
2. Đăng nhập bằng tài khoản vai trò 'Trưởng phòng Nhân sự' được phép thao tác.
3. Mở chức năng 'khởi tạo checklist onboarding cho người đã nhận việc' trên môi trường staging.
4. Gán owner và due date cho 4 task
5. thử lưu thiếu owner, sau đó lưu đủ và kiểm tra người nhận.
6. Ghi kết quả thực tế và đối chiếu tiêu chí S7-08-AC02.</x:v>
      </x:c>
      <x:c r="N277" s="20" t="str">
        <x:v>Mỗi mục có người phụ trách và hạn hoàn thành</x:v>
      </x:c>
      <x:c r="O277" s="20" t="str"/>
      <x:c r="P277" s="20" t="str">
        <x:v>Chưa chạy</x:v>
      </x:c>
      <x:c r="Q277" s="20" t="str"/>
      <x:c r="R277" s="20" t="str"/>
      <x:c r="S277" s="26" t="str"/>
      <x:c r="T277" s="20" t="str">
        <x:v>Ưu tiên tự động hóa</x:v>
      </x:c>
      <x:c r="U277" s="20" t="str">
        <x:v>Nguồn: 4. Product Backlog!F84, tiêu chí 2</x:v>
      </x:c>
      <x:c r="V277" s="20" t="str">
        <x:v>S7-08</x:v>
      </x:c>
      <x:c r="W277" s="20" t="str">
        <x:v>Backlog / AC</x:v>
      </x:c>
    </x:row>
    <x:row r="278" ht="92" customHeight="1">
      <x:c r="A278" s="20" t="str">
        <x:v>TC-S7-08-03</x:v>
      </x:c>
      <x:c r="B278" s="20" t="n">
        <x:v>7</x:v>
      </x:c>
      <x:c r="C278" s="20" t="str">
        <x:v>EP-07</x:v>
      </x:c>
      <x:c r="D278" s="20" t="str">
        <x:v>S7-08</x:v>
      </x:c>
      <x:c r="E278" s="20" t="str">
        <x:v>S7-08-AC03</x:v>
      </x:c>
      <x:c r="F278" s="20" t="str">
        <x:v>Offer &amp; Onboarding</x:v>
      </x:c>
      <x:c r="G278" s="20" t="str">
        <x:v>Tiến độ hoàn thành hiển thị theo phần trăm</x:v>
      </x:c>
      <x:c r="H278" s="20" t="str">
        <x:v>Functional</x:v>
      </x:c>
      <x:c r="I278" s="20" t="str">
        <x:v>High</x:v>
      </x:c>
      <x:c r="J278" s="20" t="str">
        <x:v>Trưởng phòng Nhân sự</x:v>
      </x:c>
      <x:c r="K278" s="20" t="str">
        <x:v>Có ứng viên đã qua phỏng vấn, phiếu đánh giá và dải lương test.</x:v>
      </x:c>
      <x:c r="L278" s="20" t="str">
        <x:v>Offer 20 triệu VND; offer vượt dải 30 triệu; ngày nhận việc 2026-10-15</x:v>
      </x:c>
      <x:c r="M278" s="20" t="str">
        <x:v>1. Chuẩn bị dữ liệu: Có ứng viên đã qua phỏng vấn, phiếu đánh giá và dải lương test.
2. Đăng nhập bằng tài khoản vai trò 'Trưởng phòng Nhân sự' được phép thao tác.
3. Mở chức năng 'khởi tạo checklist onboarding cho người đã nhận việc' trên môi trường staging.
4. Hoàn thành tuần tự 0/4, 1/4 và 4/4 task
5. đối chiếu chỉ số tiến độ 0%,25%,100%.
6. Ghi kết quả thực tế và đối chiếu tiêu chí S7-08-AC03.</x:v>
      </x:c>
      <x:c r="N278" s="20" t="str">
        <x:v>Tiến độ hoàn thành hiển thị theo phần trăm</x:v>
      </x:c>
      <x:c r="O278" s="20" t="str"/>
      <x:c r="P278" s="20" t="str">
        <x:v>Chưa chạy</x:v>
      </x:c>
      <x:c r="Q278" s="20" t="str"/>
      <x:c r="R278" s="20" t="str"/>
      <x:c r="S278" s="26" t="str"/>
      <x:c r="T278" s="20" t="str">
        <x:v>Ưu tiên tự động hóa</x:v>
      </x:c>
      <x:c r="U278" s="20" t="str">
        <x:v>Nguồn: 4. Product Backlog!F84, tiêu chí 3</x:v>
      </x:c>
      <x:c r="V278" s="20" t="str">
        <x:v>S7-08</x:v>
      </x:c>
      <x:c r="W278" s="20" t="str">
        <x:v>Backlog / AC</x:v>
      </x:c>
    </x:row>
    <x:row r="279" ht="92" customHeight="1">
      <x:c r="A279" s="20" t="str">
        <x:v>TC-S7-08-04</x:v>
      </x:c>
      <x:c r="B279" s="20" t="n">
        <x:v>7</x:v>
      </x:c>
      <x:c r="C279" s="20" t="str">
        <x:v>EP-07</x:v>
      </x:c>
      <x:c r="D279" s="20" t="str">
        <x:v>S7-08</x:v>
      </x:c>
      <x:c r="E279" s="20" t="str">
        <x:v>S7-08-AC04</x:v>
      </x:c>
      <x:c r="F279" s="20" t="str">
        <x:v>Offer &amp; Onboarding</x:v>
      </x:c>
      <x:c r="G279" s="20" t="str">
        <x:v>Ứng viên nhận việc chuyển sang trạng thái Đã onboard khi checklist xong</x:v>
      </x:c>
      <x:c r="H279" s="20" t="str">
        <x:v>Functional</x:v>
      </x:c>
      <x:c r="I279" s="20" t="str">
        <x:v>High</x:v>
      </x:c>
      <x:c r="J279" s="20" t="str">
        <x:v>Trưởng phòng Nhân sự</x:v>
      </x:c>
      <x:c r="K279" s="20" t="str">
        <x:v>Có ứng viên đã qua phỏng vấn, phiếu đánh giá và dải lương test.</x:v>
      </x:c>
      <x:c r="L279" s="20" t="str">
        <x:v>Offer 20 triệu VND; offer vượt dải 30 triệu; ngày nhận việc 2026-10-15</x:v>
      </x:c>
      <x:c r="M279" s="20" t="str">
        <x:v>1. Chuẩn bị dữ liệu: Có ứng viên đã qua phỏng vấn, phiếu đánh giá và dải lương test.
2. Đăng nhập bằng tài khoản vai trò 'Trưởng phòng Nhân sự' được phép thao tác.
3. Mở chức năng 'khởi tạo checklist onboarding cho người đã nhận việc' trên môi trường staging.
4. Ứng viên đã chấp nhận offer
5. hoàn thành 3/4 task rồi 4/4
6. xem trạng thái Onboard sau từng lần.
7. Ghi kết quả thực tế và đối chiếu tiêu chí S7-08-AC04.</x:v>
      </x:c>
      <x:c r="N279" s="20" t="str">
        <x:v>Ứng viên nhận việc chuyển sang trạng thái Đã onboard khi checklist xong</x:v>
      </x:c>
      <x:c r="O279" s="20" t="str"/>
      <x:c r="P279" s="20" t="str">
        <x:v>Chưa chạy</x:v>
      </x:c>
      <x:c r="Q279" s="20" t="str"/>
      <x:c r="R279" s="20" t="str"/>
      <x:c r="S279" s="26" t="str"/>
      <x:c r="T279" s="20" t="str">
        <x:v>Ưu tiên tự động hóa</x:v>
      </x:c>
      <x:c r="U279" s="20" t="str">
        <x:v>Nguồn: 4. Product Backlog!F84, tiêu chí 4</x:v>
      </x:c>
      <x:c r="V279" s="20" t="str">
        <x:v>S7-08</x:v>
      </x:c>
      <x:c r="W279" s="20" t="str">
        <x:v>Backlog / AC</x:v>
      </x:c>
    </x:row>
    <x:row r="280" ht="92" customHeight="1">
      <x:c r="A280" s="20" t="str">
        <x:v>TC-S7-08-X01</x:v>
      </x:c>
      <x:c r="B280" s="20" t="n">
        <x:v>7</x:v>
      </x:c>
      <x:c r="C280" s="20" t="str">
        <x:v>EP-07</x:v>
      </x:c>
      <x:c r="D280" s="20" t="str">
        <x:v>S7-08</x:v>
      </x:c>
      <x:c r="E280" s="20" t="str">
        <x:v>QA-EXTRA</x:v>
      </x:c>
      <x:c r="F280" s="20" t="str">
        <x:v>Offer &amp; Onboarding</x:v>
      </x:c>
      <x:c r="G280" s="20" t="str">
        <x:v>Không đạt 100% checklist thì chưa Đã onboard</x:v>
      </x:c>
      <x:c r="H280" s="20" t="str">
        <x:v>Boundary</x:v>
      </x:c>
      <x:c r="I280" s="20" t="str">
        <x:v>High</x:v>
      </x:c>
      <x:c r="J280" s="20" t="str">
        <x:v>Trưởng phòng Nhân sự</x:v>
      </x:c>
      <x:c r="K280" s="20" t="str">
        <x:v>Có ứng viên đã qua phỏng vấn, phiếu đánh giá và dải lương test.</x:v>
      </x:c>
      <x:c r="L280" s="20" t="str">
        <x:v>4 đầu việc, hoàn thành 3/4</x:v>
      </x:c>
      <x:c r="M280" s="20" t="str">
        <x:v>1. Tạo checklist
2. Hoàn thành 3 mục
3. Đọc trạng thái
4. Hoàn thành mục cuối</x:v>
      </x:c>
      <x:c r="N280" s="20" t="str">
        <x:v>75% chưa onboard; khi 100% mới chuyển Đã onboard</x:v>
      </x:c>
      <x:c r="O280" s="20" t="str"/>
      <x:c r="P280" s="20" t="str">
        <x:v>Chưa chạy</x:v>
      </x:c>
      <x:c r="Q280" s="20" t="str"/>
      <x:c r="R280" s="20" t="str"/>
      <x:c r="S280" s="26" t="str"/>
      <x:c r="T280" s="20" t="str">
        <x:v>Ưu tiên tự động hóa</x:v>
      </x:c>
      <x:c r="U280" s="20" t="str">
        <x:v>Kịch bản rủi ro/biên; nếu vượt yêu cầu backlog, xác nhận PO.</x:v>
      </x:c>
      <x:c r="V280" s="20" t="str">
        <x:v>S7-08</x:v>
      </x:c>
      <x:c r="W280" s="20" t="str">
        <x:v>Bổ sung QA</x:v>
      </x:c>
    </x:row>
    <x:row r="281" ht="92" customHeight="1">
      <x:c r="A281" s="20" t="str">
        <x:v>TC-S7-09-01</x:v>
      </x:c>
      <x:c r="B281" s="20" t="n">
        <x:v>7</x:v>
      </x:c>
      <x:c r="C281" s="20" t="str">
        <x:v>EP-08</x:v>
      </x:c>
      <x:c r="D281" s="20" t="str">
        <x:v>S7-09</x:v>
      </x:c>
      <x:c r="E281" s="20" t="str">
        <x:v>S7-09-AC01</x:v>
      </x:c>
      <x:c r="F281" s="20" t="str">
        <x:v>Thông báo &amp; Email</x:v>
      </x:c>
      <x:c r="G281" s="20" t="str">
        <x:v>Chọn nhiều ứng viên cùng trạng thái để gửi một lượt</x:v>
      </x:c>
      <x:c r="H281" s="20" t="str">
        <x:v>Functional</x:v>
      </x:c>
      <x:c r="I281" s="20" t="str">
        <x:v>Medium</x:v>
      </x:c>
      <x:c r="J281" s="20" t="str">
        <x:v>Nhân viên tuyển dụng</x:v>
      </x:c>
      <x:c r="K281" s="20" t="str">
        <x:v>Có ứng viên đã qua phỏng vấn, phiếu đánh giá và dải lương test.</x:v>
      </x:c>
      <x:c r="L281" s="20" t="str">
        <x:v>Offer 20 triệu VND; offer vượt dải 30 triệu; ngày nhận việc 2026-10-15</x:v>
      </x:c>
      <x:c r="M281" s="20" t="str">
        <x:v>1. Chuẩn bị dữ liệu: Có ứng viên đã qua phỏng vấn, phiếu đánh giá và dải lương test.
2. Đăng nhập bằng tài khoản vai trò 'Nhân viên tuyển dụng' được phép thao tác.
3. Mở chức năng 'gửi thư cảm ơn và thư từ chối hàng loạt' trên môi trường staging.
4. Lọc 7 ứng viên cùng trạng thái Loại
5. chọn hàng loạt
6. preview từng thư và gửi batch.
7. Ghi kết quả thực tế và đối chiếu tiêu chí S7-09-AC01.</x:v>
      </x:c>
      <x:c r="N281" s="20" t="str">
        <x:v>Chọn nhiều ứng viên cùng trạng thái để gửi một lượt</x:v>
      </x:c>
      <x:c r="O281" s="20" t="str"/>
      <x:c r="P281" s="20" t="str">
        <x:v>Chưa chạy</x:v>
      </x:c>
      <x:c r="Q281" s="20" t="str"/>
      <x:c r="R281" s="20" t="str"/>
      <x:c r="S281" s="26" t="str"/>
      <x:c r="T281" s="20" t="str">
        <x:v>Cân nhắc</x:v>
      </x:c>
      <x:c r="U281" s="20" t="str">
        <x:v>Nguồn: 4. Product Backlog!F85, tiêu chí 1</x:v>
      </x:c>
      <x:c r="V281" s="20" t="str">
        <x:v>S7-09</x:v>
      </x:c>
      <x:c r="W281" s="20" t="str">
        <x:v>Backlog / AC</x:v>
      </x:c>
    </x:row>
    <x:row r="282" ht="92" customHeight="1">
      <x:c r="A282" s="20" t="str">
        <x:v>TC-S7-09-02</x:v>
      </x:c>
      <x:c r="B282" s="20" t="n">
        <x:v>7</x:v>
      </x:c>
      <x:c r="C282" s="20" t="str">
        <x:v>EP-08</x:v>
      </x:c>
      <x:c r="D282" s="20" t="str">
        <x:v>S7-09</x:v>
      </x:c>
      <x:c r="E282" s="20" t="str">
        <x:v>S7-09-AC02</x:v>
      </x:c>
      <x:c r="F282" s="20" t="str">
        <x:v>Thông báo &amp; Email</x:v>
      </x:c>
      <x:c r="G282" s="20" t="str">
        <x:v>Xem trước nội dung thư với dữ liệu thật của từng người trước khi gửi</x:v>
      </x:c>
      <x:c r="H282" s="20" t="str">
        <x:v>Functional</x:v>
      </x:c>
      <x:c r="I282" s="20" t="str">
        <x:v>Medium</x:v>
      </x:c>
      <x:c r="J282" s="20" t="str">
        <x:v>Nhân viên tuyển dụng</x:v>
      </x:c>
      <x:c r="K282" s="20" t="str">
        <x:v>Có ứng viên đã qua phỏng vấn, phiếu đánh giá và dải lương test.</x:v>
      </x:c>
      <x:c r="L282" s="20" t="str">
        <x:v>Offer 20 triệu VND; offer vượt dải 30 triệu; ngày nhận việc 2026-10-15</x:v>
      </x:c>
      <x:c r="M282" s="20" t="str">
        <x:v>1. Chuẩn bị dữ liệu: Có ứng viên đã qua phỏng vấn, phiếu đánh giá và dải lương test.
2. Đăng nhập bằng tài khoản vai trò 'Nhân viên tuyển dụng' được phép thao tác.
3. Mở chức năng 'gửi thư cảm ơn và thư từ chối hàng loạt' trên môi trường staging.
4. Thực hiện thao tác phát sinh email/thông báo; đọc hộp thư sandbox và thông báo trong ứng dụng.
5. Đối chiếu người nhận, nội dung, thời điểm, trạng thái và việc chống gửi trùng.</x:v>
      </x:c>
      <x:c r="N282" s="20" t="str">
        <x:v>Xem trước nội dung thư với dữ liệu thật của từng người trước khi gửi</x:v>
      </x:c>
      <x:c r="O282" s="20" t="str"/>
      <x:c r="P282" s="20" t="str">
        <x:v>Chưa chạy</x:v>
      </x:c>
      <x:c r="Q282" s="20" t="str"/>
      <x:c r="R282" s="20" t="str"/>
      <x:c r="S282" s="26" t="str"/>
      <x:c r="T282" s="20" t="str">
        <x:v>Cân nhắc</x:v>
      </x:c>
      <x:c r="U282" s="20" t="str">
        <x:v>Nguồn: 4. Product Backlog!F85, tiêu chí 2</x:v>
      </x:c>
      <x:c r="V282" s="20" t="str">
        <x:v>S7-09</x:v>
      </x:c>
      <x:c r="W282" s="20" t="str">
        <x:v>Backlog / AC</x:v>
      </x:c>
    </x:row>
    <x:row r="283" ht="92" customHeight="1">
      <x:c r="A283" s="20" t="str">
        <x:v>TC-S7-09-03</x:v>
      </x:c>
      <x:c r="B283" s="20" t="n">
        <x:v>7</x:v>
      </x:c>
      <x:c r="C283" s="20" t="str">
        <x:v>EP-08</x:v>
      </x:c>
      <x:c r="D283" s="20" t="str">
        <x:v>S7-09</x:v>
      </x:c>
      <x:c r="E283" s="20" t="str">
        <x:v>S7-09-AC03</x:v>
      </x:c>
      <x:c r="F283" s="20" t="str">
        <x:v>Thông báo &amp; Email</x:v>
      </x:c>
      <x:c r="G283" s="20" t="str">
        <x:v>Hệ thống chặn gửi trùng cho ứng viên đã nhận thư từ chối</x:v>
      </x:c>
      <x:c r="H283" s="20" t="str">
        <x:v>Functional</x:v>
      </x:c>
      <x:c r="I283" s="20" t="str">
        <x:v>Medium</x:v>
      </x:c>
      <x:c r="J283" s="20" t="str">
        <x:v>Nhân viên tuyển dụng</x:v>
      </x:c>
      <x:c r="K283" s="20" t="str">
        <x:v>Có ứng viên đã qua phỏng vấn, phiếu đánh giá và dải lương test.</x:v>
      </x:c>
      <x:c r="L283" s="20" t="str">
        <x:v>Offer 20 triệu VND; offer vượt dải 30 triệu; ngày nhận việc 2026-10-15</x:v>
      </x:c>
      <x:c r="M283" s="20" t="str">
        <x:v>1. Chuẩn bị dữ liệu: Có ứng viên đã qua phỏng vấn, phiếu đánh giá và dải lương test.
2. Đăng nhập bằng tài khoản vai trò 'Nhân viên tuyển dụng' được phép thao tác.
3. Mở chức năng 'gửi thư cảm ơn và thư từ chối hàng loạt' trên môi trường staging.
4. Tạo hai bản ghi/khung giờ có cùng khoá nghiệp vụ (email, số điện thoại, vị trí hoặc người/phòng trùng lịch).
5. Thực hiện lưu/gộp/đặt lịch và kiểm tra cảnh báo, dữ liệu sau thao tác.</x:v>
      </x:c>
      <x:c r="N283" s="20" t="str">
        <x:v>Hệ thống chặn gửi trùng cho ứng viên đã nhận thư từ chối</x:v>
      </x:c>
      <x:c r="O283" s="20" t="str"/>
      <x:c r="P283" s="20" t="str">
        <x:v>Chưa chạy</x:v>
      </x:c>
      <x:c r="Q283" s="20" t="str"/>
      <x:c r="R283" s="20" t="str"/>
      <x:c r="S283" s="26" t="str"/>
      <x:c r="T283" s="20" t="str">
        <x:v>Cân nhắc</x:v>
      </x:c>
      <x:c r="U283" s="20" t="str">
        <x:v>Nguồn: 4. Product Backlog!F85, tiêu chí 3</x:v>
      </x:c>
      <x:c r="V283" s="20" t="str">
        <x:v>S7-09</x:v>
      </x:c>
      <x:c r="W283" s="20" t="str">
        <x:v>Backlog / AC</x:v>
      </x:c>
    </x:row>
    <x:row r="284" ht="92" customHeight="1">
      <x:c r="A284" s="20" t="str">
        <x:v>TC-S7-09-X01</x:v>
      </x:c>
      <x:c r="B284" s="20" t="n">
        <x:v>7</x:v>
      </x:c>
      <x:c r="C284" s="20" t="str">
        <x:v>EP-08</x:v>
      </x:c>
      <x:c r="D284" s="20" t="str">
        <x:v>S7-09</x:v>
      </x:c>
      <x:c r="E284" s="20" t="str">
        <x:v>QA-EXTRA</x:v>
      </x:c>
      <x:c r="F284" s="20" t="str">
        <x:v>Thông báo &amp; Email</x:v>
      </x:c>
      <x:c r="G284" s="20" t="str">
        <x:v>Không gửi trùng thư từ chối khi chọn danh sách chồng lấp</x:v>
      </x:c>
      <x:c r="H284" s="20" t="str">
        <x:v>Integration</x:v>
      </x:c>
      <x:c r="I284" s="20" t="str">
        <x:v>Medium</x:v>
      </x:c>
      <x:c r="J284" s="20" t="str">
        <x:v>Nhân viên tuyển dụng</x:v>
      </x:c>
      <x:c r="K284" s="20" t="str">
        <x:v>Có ứng viên đã qua phỏng vấn, phiếu đánh giá và dải lương test.</x:v>
      </x:c>
      <x:c r="L284" s="20" t="str">
        <x:v>10 ứng viên trong đó 3 đã có email từ chối</x:v>
      </x:c>
      <x:c r="M284" s="20" t="str">
        <x:v>1. Chọn cả 10
2. Xem trước
3. Gửi
4. Đếm message_id và nhật ký</x:v>
      </x:c>
      <x:c r="N284" s="20" t="str">
        <x:v>7 người còn lại nhận đúng 1 thư; 3 người đã gửi không nhận thêm</x:v>
      </x:c>
      <x:c r="O284" s="20" t="str"/>
      <x:c r="P284" s="20" t="str">
        <x:v>Chưa chạy</x:v>
      </x:c>
      <x:c r="Q284" s="20" t="str"/>
      <x:c r="R284" s="20" t="str"/>
      <x:c r="S284" s="26" t="str"/>
      <x:c r="T284" s="20" t="str">
        <x:v>Cân nhắc</x:v>
      </x:c>
      <x:c r="U284" s="20" t="str">
        <x:v>Kịch bản rủi ro/biên; nếu vượt yêu cầu backlog, xác nhận PO.</x:v>
      </x:c>
      <x:c r="V284" s="20" t="str">
        <x:v>S7-09</x:v>
      </x:c>
      <x:c r="W284" s="20" t="str">
        <x:v>Bổ sung QA</x:v>
      </x:c>
    </x:row>
    <x:row r="285" ht="92" customHeight="1">
      <x:c r="A285" s="20" t="str">
        <x:v>TC-S8-01-01</x:v>
      </x:c>
      <x:c r="B285" s="20" t="n">
        <x:v>8</x:v>
      </x:c>
      <x:c r="C285" s="20" t="str">
        <x:v>EP-08</x:v>
      </x:c>
      <x:c r="D285" s="20" t="str">
        <x:v>S8-01</x:v>
      </x:c>
      <x:c r="E285" s="20" t="str">
        <x:v>S8-01-AC01</x:v>
      </x:c>
      <x:c r="F285" s="20" t="str">
        <x:v>Thông báo &amp; Email</x:v>
      </x:c>
      <x:c r="G285" s="20" t="str">
        <x:v>Mẫu cho: xác nhận đã nhận hồ sơ, mời phỏng vấn, cảm ơn sau phỏng vấn, thư từ chối, thư offer</x:v>
      </x:c>
      <x:c r="H285" s="20" t="str">
        <x:v>Functional</x:v>
      </x:c>
      <x:c r="I285" s="20" t="str">
        <x:v>High</x:v>
      </x:c>
      <x:c r="J285" s="20" t="str">
        <x:v>Trưởng phòng Nhân sự</x:v>
      </x:c>
      <x:c r="K285" s="20" t="str">
        <x:v>Có dữ liệu tuyển dụng trải trên nhiều tuần và email test/hàng đợi.</x:v>
      </x:c>
      <x:c r="L285" s="20" t="str">
        <x:v>Dữ liệu 12 tuần; 20 hồ sơ; SMTP sandbox; 3 phòng ban</x:v>
      </x:c>
      <x:c r="M285" s="20" t="str">
        <x:v>1. Chuẩn bị dữ liệu: Có dữ liệu tuyển dụng trải trên nhiều tuần và email test/hàng đợi.
2. Đăng nhập bằng tài khoản vai trò 'Trưởng phòng Nhân sự' được phép thao tác.
3. Mở chức năng 'cấu hình mẫu email tự động theo giai đoạn' trên môi trường staging.
4. Thực hiện thao tác phát sinh email/thông báo; đọc hộp thư sandbox và thông báo trong ứng dụng.
5. Đối chiếu người nhận, nội dung, thời điểm, trạng thái và việc chống gửi trùng.</x:v>
      </x:c>
      <x:c r="N285" s="20" t="str">
        <x:v>Mẫu cho: xác nhận đã nhận hồ sơ, mời phỏng vấn, cảm ơn sau phỏng vấn, thư từ chối, thư offer</x:v>
      </x:c>
      <x:c r="O285" s="20" t="str"/>
      <x:c r="P285" s="20" t="str">
        <x:v>Chưa chạy</x:v>
      </x:c>
      <x:c r="Q285" s="20" t="str"/>
      <x:c r="R285" s="20" t="str"/>
      <x:c r="S285" s="26" t="str"/>
      <x:c r="T285" s="20" t="str">
        <x:v>Ưu tiên tự động hóa</x:v>
      </x:c>
      <x:c r="U285" s="20" t="str">
        <x:v>Nguồn: 4. Product Backlog!F88, tiêu chí 1</x:v>
      </x:c>
      <x:c r="V285" s="20" t="str">
        <x:v>S8-01</x:v>
      </x:c>
      <x:c r="W285" s="20" t="str">
        <x:v>Backlog / AC</x:v>
      </x:c>
    </x:row>
    <x:row r="286" ht="92" customHeight="1">
      <x:c r="A286" s="20" t="str">
        <x:v>TC-S8-01-02</x:v>
      </x:c>
      <x:c r="B286" s="20" t="n">
        <x:v>8</x:v>
      </x:c>
      <x:c r="C286" s="20" t="str">
        <x:v>EP-08</x:v>
      </x:c>
      <x:c r="D286" s="20" t="str">
        <x:v>S8-01</x:v>
      </x:c>
      <x:c r="E286" s="20" t="str">
        <x:v>S8-01-AC02</x:v>
      </x:c>
      <x:c r="F286" s="20" t="str">
        <x:v>Thông báo &amp; Email</x:v>
      </x:c>
      <x:c r="G286" s="20" t="str">
        <x:v>Mẫu chèn được biến: tên ứng viên, tên vị trí, thời gian phỏng vấn</x:v>
      </x:c>
      <x:c r="H286" s="20" t="str">
        <x:v>Functional</x:v>
      </x:c>
      <x:c r="I286" s="20" t="str">
        <x:v>High</x:v>
      </x:c>
      <x:c r="J286" s="20" t="str">
        <x:v>Trưởng phòng Nhân sự</x:v>
      </x:c>
      <x:c r="K286" s="20" t="str">
        <x:v>Có dữ liệu tuyển dụng trải trên nhiều tuần và email test/hàng đợi.</x:v>
      </x:c>
      <x:c r="L286" s="20" t="str">
        <x:v>Dữ liệu 12 tuần; 20 hồ sơ; SMTP sandbox; 3 phòng ban</x:v>
      </x:c>
      <x:c r="M286" s="20" t="str">
        <x:v>1. Chuẩn bị dữ liệu: Có dữ liệu tuyển dụng trải trên nhiều tuần và email test/hàng đợi.
2. Đăng nhập bằng tài khoản vai trò 'Trưởng phòng Nhân sự' được phép thao tác.
3. Mở chức năng 'cấu hình mẫu email tự động theo giai đoạn' trên môi trường staging.
4. Tạo mẫu với biến candidate_name, job_name, interview_time
5. render với fixture và so sánh từng giá trị.
6. Ghi kết quả thực tế và đối chiếu tiêu chí S8-01-AC02.</x:v>
      </x:c>
      <x:c r="N286" s="20" t="str">
        <x:v>Mẫu chèn được biến: tên ứng viên, tên vị trí, thời gian phỏng vấn</x:v>
      </x:c>
      <x:c r="O286" s="20" t="str"/>
      <x:c r="P286" s="20" t="str">
        <x:v>Chưa chạy</x:v>
      </x:c>
      <x:c r="Q286" s="20" t="str"/>
      <x:c r="R286" s="20" t="str"/>
      <x:c r="S286" s="26" t="str"/>
      <x:c r="T286" s="20" t="str">
        <x:v>Ưu tiên tự động hóa</x:v>
      </x:c>
      <x:c r="U286" s="20" t="str">
        <x:v>Nguồn: 4. Product Backlog!F88, tiêu chí 2</x:v>
      </x:c>
      <x:c r="V286" s="20" t="str">
        <x:v>S8-01</x:v>
      </x:c>
      <x:c r="W286" s="20" t="str">
        <x:v>Backlog / AC</x:v>
      </x:c>
    </x:row>
    <x:row r="287" ht="92" customHeight="1">
      <x:c r="A287" s="20" t="str">
        <x:v>TC-S8-01-03</x:v>
      </x:c>
      <x:c r="B287" s="20" t="n">
        <x:v>8</x:v>
      </x:c>
      <x:c r="C287" s="20" t="str">
        <x:v>EP-08</x:v>
      </x:c>
      <x:c r="D287" s="20" t="str">
        <x:v>S8-01</x:v>
      </x:c>
      <x:c r="E287" s="20" t="str">
        <x:v>S8-01-AC03</x:v>
      </x:c>
      <x:c r="F287" s="20" t="str">
        <x:v>Thông báo &amp; Email</x:v>
      </x:c>
      <x:c r="G287" s="20" t="str">
        <x:v>Xem trước với dữ liệu thật trước khi lưu</x:v>
      </x:c>
      <x:c r="H287" s="20" t="str">
        <x:v>Functional</x:v>
      </x:c>
      <x:c r="I287" s="20" t="str">
        <x:v>High</x:v>
      </x:c>
      <x:c r="J287" s="20" t="str">
        <x:v>Trưởng phòng Nhân sự</x:v>
      </x:c>
      <x:c r="K287" s="20" t="str">
        <x:v>Có dữ liệu tuyển dụng trải trên nhiều tuần và email test/hàng đợi.</x:v>
      </x:c>
      <x:c r="L287" s="20" t="str">
        <x:v>Dữ liệu 12 tuần; 20 hồ sơ; SMTP sandbox; 3 phòng ban</x:v>
      </x:c>
      <x:c r="M287" s="20" t="str">
        <x:v>1. Chuẩn bị dữ liệu: Có dữ liệu tuyển dụng trải trên nhiều tuần và email test/hàng đợi.
2. Đăng nhập bằng tài khoản vai trò 'Trưởng phòng Nhân sự' được phép thao tác.
3. Mở chức năng 'cấu hình mẫu email tự động theo giai đoạn' trên môi trường staging.
4. Chọn hồ sơ thật trên staging nhưng dữ liệu giả lập
5. mở preview email, đọc tên/job/giờ trước khi lưu mẫu.
6. Ghi kết quả thực tế và đối chiếu tiêu chí S8-01-AC03.</x:v>
      </x:c>
      <x:c r="N287" s="20" t="str">
        <x:v>Xem trước với dữ liệu thật trước khi lưu</x:v>
      </x:c>
      <x:c r="O287" s="20" t="str"/>
      <x:c r="P287" s="20" t="str">
        <x:v>Chưa chạy</x:v>
      </x:c>
      <x:c r="Q287" s="20" t="str"/>
      <x:c r="R287" s="20" t="str"/>
      <x:c r="S287" s="26" t="str"/>
      <x:c r="T287" s="20" t="str">
        <x:v>Ưu tiên tự động hóa</x:v>
      </x:c>
      <x:c r="U287" s="20" t="str">
        <x:v>Nguồn: 4. Product Backlog!F88, tiêu chí 3</x:v>
      </x:c>
      <x:c r="V287" s="20" t="str">
        <x:v>S8-01</x:v>
      </x:c>
      <x:c r="W287" s="20" t="str">
        <x:v>Backlog / AC</x:v>
      </x:c>
    </x:row>
    <x:row r="288" ht="92" customHeight="1">
      <x:c r="A288" s="20" t="str">
        <x:v>TC-S8-01-04</x:v>
      </x:c>
      <x:c r="B288" s="20" t="n">
        <x:v>8</x:v>
      </x:c>
      <x:c r="C288" s="20" t="str">
        <x:v>EP-08</x:v>
      </x:c>
      <x:c r="D288" s="20" t="str">
        <x:v>S8-01</x:v>
      </x:c>
      <x:c r="E288" s="20" t="str">
        <x:v>S8-01-AC04</x:v>
      </x:c>
      <x:c r="F288" s="20" t="str">
        <x:v>Thông báo &amp; Email</x:v>
      </x:c>
      <x:c r="G288" s="20" t="str">
        <x:v>Bật hoặc tắt gửi tự động cho từng loại</x:v>
      </x:c>
      <x:c r="H288" s="20" t="str">
        <x:v>Functional</x:v>
      </x:c>
      <x:c r="I288" s="20" t="str">
        <x:v>High</x:v>
      </x:c>
      <x:c r="J288" s="20" t="str">
        <x:v>Trưởng phòng Nhân sự</x:v>
      </x:c>
      <x:c r="K288" s="20" t="str">
        <x:v>Có dữ liệu tuyển dụng trải trên nhiều tuần và email test/hàng đợi.</x:v>
      </x:c>
      <x:c r="L288" s="20" t="str">
        <x:v>Dữ liệu 12 tuần; 20 hồ sơ; SMTP sandbox; 3 phòng ban</x:v>
      </x:c>
      <x:c r="M288" s="20" t="str">
        <x:v>1. Chuẩn bị dữ liệu: Có dữ liệu tuyển dụng trải trên nhiều tuần và email test/hàng đợi.
2. Đăng nhập bằng tài khoản vai trò 'Trưởng phòng Nhân sự' được phép thao tác.
3. Mở chức năng 'cấu hình mẫu email tự động theo giai đoạn' trên môi trường staging.
4. Bật auto-send cho thư nhận hồ sơ, tắt auto-send từ chối
5. phát sinh hai sự kiện, đếm email.
6. Ghi kết quả thực tế và đối chiếu tiêu chí S8-01-AC04.</x:v>
      </x:c>
      <x:c r="N288" s="20" t="str">
        <x:v>Bật hoặc tắt gửi tự động cho từng loại</x:v>
      </x:c>
      <x:c r="O288" s="20" t="str"/>
      <x:c r="P288" s="20" t="str">
        <x:v>Chưa chạy</x:v>
      </x:c>
      <x:c r="Q288" s="20" t="str"/>
      <x:c r="R288" s="20" t="str"/>
      <x:c r="S288" s="26" t="str"/>
      <x:c r="T288" s="20" t="str">
        <x:v>Ưu tiên tự động hóa</x:v>
      </x:c>
      <x:c r="U288" s="20" t="str">
        <x:v>Nguồn: 4. Product Backlog!F88, tiêu chí 4</x:v>
      </x:c>
      <x:c r="V288" s="20" t="str">
        <x:v>S8-01</x:v>
      </x:c>
      <x:c r="W288" s="20" t="str">
        <x:v>Backlog / AC</x:v>
      </x:c>
    </x:row>
    <x:row r="289" ht="92" customHeight="1">
      <x:c r="A289" s="20" t="str">
        <x:v>TC-S8-01-X01</x:v>
      </x:c>
      <x:c r="B289" s="20" t="n">
        <x:v>8</x:v>
      </x:c>
      <x:c r="C289" s="20" t="str">
        <x:v>EP-08</x:v>
      </x:c>
      <x:c r="D289" s="20" t="str">
        <x:v>S8-01</x:v>
      </x:c>
      <x:c r="E289" s="20" t="str">
        <x:v>QA-EXTRA</x:v>
      </x:c>
      <x:c r="F289" s="20" t="str">
        <x:v>Thông báo &amp; Email</x:v>
      </x:c>
      <x:c r="G289" s="20" t="str">
        <x:v>Không render HTML/script từ biến nội dung email</x:v>
      </x:c>
      <x:c r="H289" s="20" t="str">
        <x:v>Security</x:v>
      </x:c>
      <x:c r="I289" s="20" t="str">
        <x:v>High</x:v>
      </x:c>
      <x:c r="J289" s="20" t="str">
        <x:v>Trưởng phòng Nhân sự</x:v>
      </x:c>
      <x:c r="K289" s="20" t="str">
        <x:v>Có dữ liệu tuyển dụng trải trên nhiều tuần và email test/hàng đợi.</x:v>
      </x:c>
      <x:c r="L289" s="20" t="str">
        <x:v>Tên ứng viên chứa ký tự HTML kiểm thử</x:v>
      </x:c>
      <x:c r="M289" s="20" t="str">
        <x:v>1. Tạo mẫu có biến tên ứng viên
2. Xem trước
3. Gửi qua SMTP sandbox</x:v>
      </x:c>
      <x:c r="N289" s="20" t="str">
        <x:v>Biến được escape phù hợp; không chèn mã độc hoặc làm vỡ bố cục email</x:v>
      </x:c>
      <x:c r="O289" s="20" t="str"/>
      <x:c r="P289" s="20" t="str">
        <x:v>Chưa chạy</x:v>
      </x:c>
      <x:c r="Q289" s="20" t="str"/>
      <x:c r="R289" s="20" t="str"/>
      <x:c r="S289" s="26" t="str"/>
      <x:c r="T289" s="20" t="str">
        <x:v>Ưu tiên tự động hóa</x:v>
      </x:c>
      <x:c r="U289" s="20" t="str">
        <x:v>Kịch bản rủi ro/biên; nếu vượt yêu cầu backlog, xác nhận PO.</x:v>
      </x:c>
      <x:c r="V289" s="20" t="str">
        <x:v>S8-01</x:v>
      </x:c>
      <x:c r="W289" s="20" t="str">
        <x:v>Bổ sung QA</x:v>
      </x:c>
    </x:row>
    <x:row r="290" ht="92" customHeight="1">
      <x:c r="A290" s="20" t="str">
        <x:v>TC-S8-02-01</x:v>
      </x:c>
      <x:c r="B290" s="20" t="n">
        <x:v>8</x:v>
      </x:c>
      <x:c r="C290" s="20" t="str">
        <x:v>EP-08</x:v>
      </x:c>
      <x:c r="D290" s="20" t="str">
        <x:v>S8-02</x:v>
      </x:c>
      <x:c r="E290" s="20" t="str">
        <x:v>S8-02-AC01</x:v>
      </x:c>
      <x:c r="F290" s="20" t="str">
        <x:v>Thông báo &amp; Email</x:v>
      </x:c>
      <x:c r="G290" s="20" t="str">
        <x:v>Hiển thị thời điểm gửi, mẫu đã dùng, trạng thái gửi thành công hay thất bại</x:v>
      </x:c>
      <x:c r="H290" s="20" t="str">
        <x:v>Functional</x:v>
      </x:c>
      <x:c r="I290" s="20" t="str">
        <x:v>High</x:v>
      </x:c>
      <x:c r="J290" s="20" t="str">
        <x:v>Nhân viên tuyển dụng</x:v>
      </x:c>
      <x:c r="K290" s="20" t="str">
        <x:v>Có dữ liệu tuyển dụng trải trên nhiều tuần và email test/hàng đợi.</x:v>
      </x:c>
      <x:c r="L290" s="20" t="str">
        <x:v>Dữ liệu 12 tuần; 20 hồ sơ; SMTP sandbox; 3 phòng ban</x:v>
      </x:c>
      <x:c r="M290" s="20" t="str">
        <x:v>1. Chuẩn bị dữ liệu: Có dữ liệu tuyển dụng trải trên nhiều tuần và email test/hàng đợi.
2. Đăng nhập bằng tài khoản vai trò 'Nhân viên tuyển dụng' được phép thao tác.
3. Mở chức năng 'xem nhật ký email đã gửi cho ứng viên' trên môi trường staging.
4. Thực hiện ít nhất hai thao tác ở thời điểm và tài khoản khác nhau; mở lịch sử/nhật ký.
5. Đối chiếu actor, hành động, dấu thời gian và thứ tự sự kiện.</x:v>
      </x:c>
      <x:c r="N290" s="20" t="str">
        <x:v>Hiển thị thời điểm gửi, mẫu đã dùng, trạng thái gửi thành công hay thất bại</x:v>
      </x:c>
      <x:c r="O290" s="20" t="str"/>
      <x:c r="P290" s="20" t="str">
        <x:v>Chưa chạy</x:v>
      </x:c>
      <x:c r="Q290" s="20" t="str"/>
      <x:c r="R290" s="20" t="str"/>
      <x:c r="S290" s="26" t="str"/>
      <x:c r="T290" s="20" t="str">
        <x:v>Ưu tiên tự động hóa</x:v>
      </x:c>
      <x:c r="U290" s="20" t="str">
        <x:v>Nguồn: 4. Product Backlog!F89, tiêu chí 1</x:v>
      </x:c>
      <x:c r="V290" s="20" t="str">
        <x:v>S8-02</x:v>
      </x:c>
      <x:c r="W290" s="20" t="str">
        <x:v>Backlog / AC</x:v>
      </x:c>
    </x:row>
    <x:row r="291" ht="92" customHeight="1">
      <x:c r="A291" s="20" t="str">
        <x:v>TC-S8-02-02</x:v>
      </x:c>
      <x:c r="B291" s="20" t="n">
        <x:v>8</x:v>
      </x:c>
      <x:c r="C291" s="20" t="str">
        <x:v>EP-08</x:v>
      </x:c>
      <x:c r="D291" s="20" t="str">
        <x:v>S8-02</x:v>
      </x:c>
      <x:c r="E291" s="20" t="str">
        <x:v>S8-02-AC02</x:v>
      </x:c>
      <x:c r="F291" s="20" t="str">
        <x:v>Thông báo &amp; Email</x:v>
      </x:c>
      <x:c r="G291" s="20" t="str">
        <x:v>Gửi lại được thư thất bại</x:v>
      </x:c>
      <x:c r="H291" s="20" t="str">
        <x:v>Functional</x:v>
      </x:c>
      <x:c r="I291" s="20" t="str">
        <x:v>High</x:v>
      </x:c>
      <x:c r="J291" s="20" t="str">
        <x:v>Nhân viên tuyển dụng</x:v>
      </x:c>
      <x:c r="K291" s="20" t="str">
        <x:v>Có dữ liệu tuyển dụng trải trên nhiều tuần và email test/hàng đợi.</x:v>
      </x:c>
      <x:c r="L291" s="20" t="str">
        <x:v>Dữ liệu 12 tuần; 20 hồ sơ; SMTP sandbox; 3 phòng ban</x:v>
      </x:c>
      <x:c r="M291" s="20" t="str">
        <x:v>1. Chuẩn bị dữ liệu: Có dữ liệu tuyển dụng trải trên nhiều tuần và email test/hàng đợi.
2. Đăng nhập bằng tài khoản vai trò 'Nhân viên tuyển dụng' được phép thao tác.
3. Mở chức năng 'xem nhật ký email đã gửi cho ứng viên' trên môi trường staging.
4. Thực hiện thao tác phát sinh email/thông báo; đọc hộp thư sandbox và thông báo trong ứng dụng.
5. Đối chiếu người nhận, nội dung, thời điểm, trạng thái và việc chống gửi trùng.</x:v>
      </x:c>
      <x:c r="N291" s="20" t="str">
        <x:v>Gửi lại được thư thất bại</x:v>
      </x:c>
      <x:c r="O291" s="20" t="str"/>
      <x:c r="P291" s="20" t="str">
        <x:v>Chưa chạy</x:v>
      </x:c>
      <x:c r="Q291" s="20" t="str"/>
      <x:c r="R291" s="20" t="str"/>
      <x:c r="S291" s="26" t="str"/>
      <x:c r="T291" s="20" t="str">
        <x:v>Ưu tiên tự động hóa</x:v>
      </x:c>
      <x:c r="U291" s="20" t="str">
        <x:v>Nguồn: 4. Product Backlog!F89, tiêu chí 2</x:v>
      </x:c>
      <x:c r="V291" s="20" t="str">
        <x:v>S8-02</x:v>
      </x:c>
      <x:c r="W291" s="20" t="str">
        <x:v>Backlog / AC</x:v>
      </x:c>
    </x:row>
    <x:row r="292" ht="92" customHeight="1">
      <x:c r="A292" s="20" t="str">
        <x:v>TC-S8-02-03</x:v>
      </x:c>
      <x:c r="B292" s="20" t="n">
        <x:v>8</x:v>
      </x:c>
      <x:c r="C292" s="20" t="str">
        <x:v>EP-08</x:v>
      </x:c>
      <x:c r="D292" s="20" t="str">
        <x:v>S8-02</x:v>
      </x:c>
      <x:c r="E292" s="20" t="str">
        <x:v>S8-02-AC03</x:v>
      </x:c>
      <x:c r="F292" s="20" t="str">
        <x:v>Thông báo &amp; Email</x:v>
      </x:c>
      <x:c r="G292" s="20" t="str">
        <x:v>Email được gửi bất đồng bộ qua hàng đợi, không làm chậm thao tác gốc</x:v>
      </x:c>
      <x:c r="H292" s="20" t="str">
        <x:v>Integration</x:v>
      </x:c>
      <x:c r="I292" s="20" t="str">
        <x:v>High</x:v>
      </x:c>
      <x:c r="J292" s="20" t="str">
        <x:v>Nhân viên tuyển dụng</x:v>
      </x:c>
      <x:c r="K292" s="20" t="str">
        <x:v>Có dữ liệu tuyển dụng trải trên nhiều tuần và email test/hàng đợi.</x:v>
      </x:c>
      <x:c r="L292" s="20" t="str">
        <x:v>Dữ liệu 12 tuần; 20 hồ sơ; SMTP sandbox; 3 phòng ban</x:v>
      </x:c>
      <x:c r="M292" s="20" t="str">
        <x:v>1. Chuẩn bị dữ liệu: Có dữ liệu tuyển dụng trải trên nhiều tuần và email test/hàng đợi.
2. Đăng nhập bằng tài khoản vai trò 'Nhân viên tuyển dụng' được phép thao tác.
3. Mở chức năng 'xem nhật ký email đã gửi cho ứng viên' trên môi trường staging.
4. Thực hiện thao tác phát sinh email/thông báo; đọc hộp thư sandbox và thông báo trong ứng dụng.
5. Đối chiếu người nhận, nội dung, thời điểm, trạng thái và việc chống gửi trùng.</x:v>
      </x:c>
      <x:c r="N292" s="20" t="str">
        <x:v>Email được gửi bất đồng bộ qua hàng đợi, không làm chậm thao tác gốc</x:v>
      </x:c>
      <x:c r="O292" s="20" t="str"/>
      <x:c r="P292" s="20" t="str">
        <x:v>Chưa chạy</x:v>
      </x:c>
      <x:c r="Q292" s="20" t="str"/>
      <x:c r="R292" s="20" t="str"/>
      <x:c r="S292" s="26" t="str"/>
      <x:c r="T292" s="20" t="str">
        <x:v>Ưu tiên tự động hóa</x:v>
      </x:c>
      <x:c r="U292" s="20" t="str">
        <x:v>Nguồn: 4. Product Backlog!F89, tiêu chí 3</x:v>
      </x:c>
      <x:c r="V292" s="20" t="str">
        <x:v>S8-02</x:v>
      </x:c>
      <x:c r="W292" s="20" t="str">
        <x:v>Backlog / AC</x:v>
      </x:c>
    </x:row>
    <x:row r="293" ht="92" customHeight="1">
      <x:c r="A293" s="20" t="str">
        <x:v>TC-S8-02-X01</x:v>
      </x:c>
      <x:c r="B293" s="20" t="n">
        <x:v>8</x:v>
      </x:c>
      <x:c r="C293" s="20" t="str">
        <x:v>EP-08</x:v>
      </x:c>
      <x:c r="D293" s="20" t="str">
        <x:v>S8-02</x:v>
      </x:c>
      <x:c r="E293" s="20" t="str">
        <x:v>QA-EXTRA</x:v>
      </x:c>
      <x:c r="F293" s="20" t="str">
        <x:v>Thông báo &amp; Email</x:v>
      </x:c>
      <x:c r="G293" s="20" t="str">
        <x:v>Thử gửi lại thư lỗi không nhân đôi thư đã thành công</x:v>
      </x:c>
      <x:c r="H293" s="20" t="str">
        <x:v>Integration</x:v>
      </x:c>
      <x:c r="I293" s="20" t="str">
        <x:v>High</x:v>
      </x:c>
      <x:c r="J293" s="20" t="str">
        <x:v>Nhân viên tuyển dụng</x:v>
      </x:c>
      <x:c r="K293" s="20" t="str">
        <x:v>Có dữ liệu tuyển dụng trải trên nhiều tuần và email test/hàng đợi.</x:v>
      </x:c>
      <x:c r="L293" s="20" t="str">
        <x:v>Một email Failed và một email Sent</x:v>
      </x:c>
      <x:c r="M293" s="20" t="str">
        <x:v>1. Cho queue SMTP thất bại
2. Khôi phục SMTP
3. Chọn resend Failed, thử resend Sent</x:v>
      </x:c>
      <x:c r="N293" s="20" t="str">
        <x:v>Failed được retry và có log; Sent không bị gửi nhân đôi ngoài nghiệp vụ</x:v>
      </x:c>
      <x:c r="O293" s="20" t="str"/>
      <x:c r="P293" s="20" t="str">
        <x:v>Chưa chạy</x:v>
      </x:c>
      <x:c r="Q293" s="20" t="str"/>
      <x:c r="R293" s="20" t="str"/>
      <x:c r="S293" s="26" t="str"/>
      <x:c r="T293" s="20" t="str">
        <x:v>Ưu tiên tự động hóa</x:v>
      </x:c>
      <x:c r="U293" s="20" t="str">
        <x:v>Kịch bản rủi ro/biên; nếu vượt yêu cầu backlog, xác nhận PO.</x:v>
      </x:c>
      <x:c r="V293" s="20" t="str">
        <x:v>S8-02</x:v>
      </x:c>
      <x:c r="W293" s="20" t="str">
        <x:v>Bổ sung QA</x:v>
      </x:c>
    </x:row>
    <x:row r="294" ht="92" customHeight="1">
      <x:c r="A294" s="20" t="str">
        <x:v>TC-S8-03-01</x:v>
      </x:c>
      <x:c r="B294" s="20" t="n">
        <x:v>8</x:v>
      </x:c>
      <x:c r="C294" s="20" t="str">
        <x:v>EP-08</x:v>
      </x:c>
      <x:c r="D294" s="20" t="str">
        <x:v>S8-03</x:v>
      </x:c>
      <x:c r="E294" s="20" t="str">
        <x:v>S8-03-AC01</x:v>
      </x:c>
      <x:c r="F294" s="20" t="str">
        <x:v>Thông báo &amp; Email</x:v>
      </x:c>
      <x:c r="G294" s="20" t="str">
        <x:v>Kích hoạt khi: có yêu cầu chờ mình duyệt, được phân công vị trí mới, được mời phỏng vấn, ứng viên phản hồi offer</x:v>
      </x:c>
      <x:c r="H294" s="20" t="str">
        <x:v>Functional</x:v>
      </x:c>
      <x:c r="I294" s="20" t="str">
        <x:v>Critical</x:v>
      </x:c>
      <x:c r="J294" s="20" t="str">
        <x:v>nhân sự nội bộ</x:v>
      </x:c>
      <x:c r="K294" s="20" t="str">
        <x:v>Có dữ liệu tuyển dụng trải trên nhiều tuần và email test/hàng đợi.</x:v>
      </x:c>
      <x:c r="L294" s="20" t="str">
        <x:v>Dữ liệu 12 tuần; 20 hồ sơ; SMTP sandbox; 3 phòng ban</x:v>
      </x:c>
      <x:c r="M294" s="20" t="str">
        <x:v>1. Chuẩn bị dữ liệu: Có dữ liệu tuyển dụng trải trên nhiều tuần và email test/hàng đợi.
2. Đăng nhập bằng tài khoản vai trò 'nhân sự nội bộ' được phép thao tác.
3. Mở chức năng 'nhận thông báo trong ứng dụng cho các sự kiện quan trọng' trên môi trường staging.
4. Lần lượt tạo REQ chờ duyệt, phân recruiter, mời interviewer và phản hồi offer
5. kiểm tra 4 notification đúng người.
6. Ghi kết quả thực tế và đối chiếu tiêu chí S8-03-AC01.</x:v>
      </x:c>
      <x:c r="N294" s="20" t="str">
        <x:v>Kích hoạt khi: có yêu cầu chờ mình duyệt, được phân công vị trí mới, được mời phỏng vấn, ứng viên phản hồi offer</x:v>
      </x:c>
      <x:c r="O294" s="20" t="str"/>
      <x:c r="P294" s="20" t="str">
        <x:v>Chưa chạy</x:v>
      </x:c>
      <x:c r="Q294" s="20" t="str"/>
      <x:c r="R294" s="20" t="str"/>
      <x:c r="S294" s="26" t="str"/>
      <x:c r="T294" s="20" t="str">
        <x:v>Ưu tiên tự động hóa</x:v>
      </x:c>
      <x:c r="U294" s="20" t="str">
        <x:v>Nguồn: 4. Product Backlog!F90, tiêu chí 1</x:v>
      </x:c>
      <x:c r="V294" s="20" t="str">
        <x:v>S8-03</x:v>
      </x:c>
      <x:c r="W294" s="20" t="str">
        <x:v>Backlog / AC</x:v>
      </x:c>
    </x:row>
    <x:row r="295" ht="92" customHeight="1">
      <x:c r="A295" s="20" t="str">
        <x:v>TC-S8-03-02</x:v>
      </x:c>
      <x:c r="B295" s="20" t="n">
        <x:v>8</x:v>
      </x:c>
      <x:c r="C295" s="20" t="str">
        <x:v>EP-08</x:v>
      </x:c>
      <x:c r="D295" s="20" t="str">
        <x:v>S8-03</x:v>
      </x:c>
      <x:c r="E295" s="20" t="str">
        <x:v>S8-03-AC02</x:v>
      </x:c>
      <x:c r="F295" s="20" t="str">
        <x:v>Thông báo &amp; Email</x:v>
      </x:c>
      <x:c r="G295" s="20" t="str">
        <x:v>Biểu tượng chuông hiển thị số thông báo chưa đọc</x:v>
      </x:c>
      <x:c r="H295" s="20" t="str">
        <x:v>Functional</x:v>
      </x:c>
      <x:c r="I295" s="20" t="str">
        <x:v>Critical</x:v>
      </x:c>
      <x:c r="J295" s="20" t="str">
        <x:v>nhân sự nội bộ</x:v>
      </x:c>
      <x:c r="K295" s="20" t="str">
        <x:v>Có dữ liệu tuyển dụng trải trên nhiều tuần và email test/hàng đợi.</x:v>
      </x:c>
      <x:c r="L295" s="20" t="str">
        <x:v>Dữ liệu 12 tuần; 20 hồ sơ; SMTP sandbox; 3 phòng ban</x:v>
      </x:c>
      <x:c r="M295" s="20" t="str">
        <x:v>1. Chuẩn bị dữ liệu: Có dữ liệu tuyển dụng trải trên nhiều tuần và email test/hàng đợi.
2. Đăng nhập bằng tài khoản vai trò 'nhân sự nội bộ' được phép thao tác.
3. Mở chức năng 'nhận thông báo trong ứng dụng cho các sự kiện quan trọng' trên môi trường staging.
4. Thực hiện thao tác phát sinh email/thông báo; đọc hộp thư sandbox và thông báo trong ứng dụng.
5. Đối chiếu người nhận, nội dung, thời điểm, trạng thái và việc chống gửi trùng.</x:v>
      </x:c>
      <x:c r="N295" s="20" t="str">
        <x:v>Biểu tượng chuông hiển thị số thông báo chưa đọc</x:v>
      </x:c>
      <x:c r="O295" s="20" t="str"/>
      <x:c r="P295" s="20" t="str">
        <x:v>Chưa chạy</x:v>
      </x:c>
      <x:c r="Q295" s="20" t="str"/>
      <x:c r="R295" s="20" t="str"/>
      <x:c r="S295" s="26" t="str"/>
      <x:c r="T295" s="20" t="str">
        <x:v>Ưu tiên tự động hóa</x:v>
      </x:c>
      <x:c r="U295" s="20" t="str">
        <x:v>Nguồn: 4. Product Backlog!F90, tiêu chí 2</x:v>
      </x:c>
      <x:c r="V295" s="20" t="str">
        <x:v>S8-03</x:v>
      </x:c>
      <x:c r="W295" s="20" t="str">
        <x:v>Backlog / AC</x:v>
      </x:c>
    </x:row>
    <x:row r="296" ht="92" customHeight="1">
      <x:c r="A296" s="20" t="str">
        <x:v>TC-S8-03-03</x:v>
      </x:c>
      <x:c r="B296" s="20" t="n">
        <x:v>8</x:v>
      </x:c>
      <x:c r="C296" s="20" t="str">
        <x:v>EP-08</x:v>
      </x:c>
      <x:c r="D296" s="20" t="str">
        <x:v>S8-03</x:v>
      </x:c>
      <x:c r="E296" s="20" t="str">
        <x:v>S8-03-AC03</x:v>
      </x:c>
      <x:c r="F296" s="20" t="str">
        <x:v>Thông báo &amp; Email</x:v>
      </x:c>
      <x:c r="G296" s="20" t="str">
        <x:v>Bấm vào thông báo mở đúng màn hình liên quan</x:v>
      </x:c>
      <x:c r="H296" s="20" t="str">
        <x:v>Functional</x:v>
      </x:c>
      <x:c r="I296" s="20" t="str">
        <x:v>Critical</x:v>
      </x:c>
      <x:c r="J296" s="20" t="str">
        <x:v>nhân sự nội bộ</x:v>
      </x:c>
      <x:c r="K296" s="20" t="str">
        <x:v>Có dữ liệu tuyển dụng trải trên nhiều tuần và email test/hàng đợi.</x:v>
      </x:c>
      <x:c r="L296" s="20" t="str">
        <x:v>Dữ liệu 12 tuần; 20 hồ sơ; SMTP sandbox; 3 phòng ban</x:v>
      </x:c>
      <x:c r="M296" s="20" t="str">
        <x:v>1. Chuẩn bị dữ liệu: Có dữ liệu tuyển dụng trải trên nhiều tuần và email test/hàng đợi.
2. Đăng nhập bằng tài khoản vai trò 'nhân sự nội bộ' được phép thao tác.
3. Mở chức năng 'nhận thông báo trong ứng dụng cho các sự kiện quan trọng' trên môi trường staging.
4. Thực hiện thao tác phát sinh email/thông báo; đọc hộp thư sandbox và thông báo trong ứng dụng.
5. Đối chiếu người nhận, nội dung, thời điểm, trạng thái và việc chống gửi trùng.</x:v>
      </x:c>
      <x:c r="N296" s="20" t="str">
        <x:v>Bấm vào thông báo mở đúng màn hình liên quan</x:v>
      </x:c>
      <x:c r="O296" s="20" t="str"/>
      <x:c r="P296" s="20" t="str">
        <x:v>Chưa chạy</x:v>
      </x:c>
      <x:c r="Q296" s="20" t="str"/>
      <x:c r="R296" s="20" t="str"/>
      <x:c r="S296" s="26" t="str"/>
      <x:c r="T296" s="20" t="str">
        <x:v>Ưu tiên tự động hóa</x:v>
      </x:c>
      <x:c r="U296" s="20" t="str">
        <x:v>Nguồn: 4. Product Backlog!F90, tiêu chí 3</x:v>
      </x:c>
      <x:c r="V296" s="20" t="str">
        <x:v>S8-03</x:v>
      </x:c>
      <x:c r="W296" s="20" t="str">
        <x:v>Backlog / AC</x:v>
      </x:c>
    </x:row>
    <x:row r="297" ht="92" customHeight="1">
      <x:c r="A297" s="20" t="str">
        <x:v>TC-S8-03-04</x:v>
      </x:c>
      <x:c r="B297" s="20" t="n">
        <x:v>8</x:v>
      </x:c>
      <x:c r="C297" s="20" t="str">
        <x:v>EP-08</x:v>
      </x:c>
      <x:c r="D297" s="20" t="str">
        <x:v>S8-03</x:v>
      </x:c>
      <x:c r="E297" s="20" t="str">
        <x:v>S8-03-AC04</x:v>
      </x:c>
      <x:c r="F297" s="20" t="str">
        <x:v>Thông báo &amp; Email</x:v>
      </x:c>
      <x:c r="G297" s="20" t="str">
        <x:v>Thông báo sinh bất đồng bộ, không làm chậm thao tác gốc</x:v>
      </x:c>
      <x:c r="H297" s="20" t="str">
        <x:v>Integration</x:v>
      </x:c>
      <x:c r="I297" s="20" t="str">
        <x:v>Critical</x:v>
      </x:c>
      <x:c r="J297" s="20" t="str">
        <x:v>nhân sự nội bộ</x:v>
      </x:c>
      <x:c r="K297" s="20" t="str">
        <x:v>Có dữ liệu tuyển dụng trải trên nhiều tuần và email test/hàng đợi.</x:v>
      </x:c>
      <x:c r="L297" s="20" t="str">
        <x:v>Dữ liệu 12 tuần; 20 hồ sơ; SMTP sandbox; 3 phòng ban</x:v>
      </x:c>
      <x:c r="M297" s="20" t="str">
        <x:v>1. Chuẩn bị dữ liệu: Có dữ liệu tuyển dụng trải trên nhiều tuần và email test/hàng đợi.
2. Đăng nhập bằng tài khoản vai trò 'nhân sự nội bộ' được phép thao tác.
3. Mở chức năng 'nhận thông báo trong ứng dụng cho các sự kiện quan trọng' trên môi trường staging.
4. Thực hiện thao tác phát sinh email/thông báo; đọc hộp thư sandbox và thông báo trong ứng dụng.
5. Đối chiếu người nhận, nội dung, thời điểm, trạng thái và việc chống gửi trùng.</x:v>
      </x:c>
      <x:c r="N297" s="20" t="str">
        <x:v>Thông báo sinh bất đồng bộ, không làm chậm thao tác gốc</x:v>
      </x:c>
      <x:c r="O297" s="20" t="str"/>
      <x:c r="P297" s="20" t="str">
        <x:v>Chưa chạy</x:v>
      </x:c>
      <x:c r="Q297" s="20" t="str"/>
      <x:c r="R297" s="20" t="str"/>
      <x:c r="S297" s="26" t="str"/>
      <x:c r="T297" s="20" t="str">
        <x:v>Ưu tiên tự động hóa</x:v>
      </x:c>
      <x:c r="U297" s="20" t="str">
        <x:v>Nguồn: 4. Product Backlog!F90, tiêu chí 4</x:v>
      </x:c>
      <x:c r="V297" s="20" t="str">
        <x:v>S8-03</x:v>
      </x:c>
      <x:c r="W297" s="20" t="str">
        <x:v>Backlog / AC</x:v>
      </x:c>
    </x:row>
    <x:row r="298" ht="92" customHeight="1">
      <x:c r="A298" s="20" t="str">
        <x:v>TC-S8-03-X01</x:v>
      </x:c>
      <x:c r="B298" s="20" t="n">
        <x:v>8</x:v>
      </x:c>
      <x:c r="C298" s="20" t="str">
        <x:v>EP-08</x:v>
      </x:c>
      <x:c r="D298" s="20" t="str">
        <x:v>S8-03</x:v>
      </x:c>
      <x:c r="E298" s="20" t="str">
        <x:v>QA-EXTRA</x:v>
      </x:c>
      <x:c r="F298" s="20" t="str">
        <x:v>Thông báo &amp; Email</x:v>
      </x:c>
      <x:c r="G298" s="20" t="str">
        <x:v>Thông báo mở đúng bản ghi sau khi role bị thu hồi</x:v>
      </x:c>
      <x:c r="H298" s="20" t="str">
        <x:v>Security / RBAC</x:v>
      </x:c>
      <x:c r="I298" s="20" t="str">
        <x:v>Critical</x:v>
      </x:c>
      <x:c r="J298" s="20" t="str">
        <x:v>nhân sự nội bộ</x:v>
      </x:c>
      <x:c r="K298" s="20" t="str">
        <x:v>Có dữ liệu tuyển dụng trải trên nhiều tuần và email test/hàng đợi.</x:v>
      </x:c>
      <x:c r="L298" s="20" t="str">
        <x:v>Notification cũ trỏ tới REQ đã mất quyền</x:v>
      </x:c>
      <x:c r="M298" s="20" t="str">
        <x:v>1. Gán recruiter A và phát notification
2. Thu hồi vai trò
3. A bấm notification cũ</x:v>
      </x:c>
      <x:c r="N298" s="20" t="str">
        <x:v>Không đọc được bản ghi đã mất quyền; điều hướng tới thông báo thiếu quyền thay vì lộ dữ liệu</x:v>
      </x:c>
      <x:c r="O298" s="20" t="str"/>
      <x:c r="P298" s="20" t="str">
        <x:v>Chưa chạy</x:v>
      </x:c>
      <x:c r="Q298" s="20" t="str"/>
      <x:c r="R298" s="20" t="str"/>
      <x:c r="S298" s="26" t="str"/>
      <x:c r="T298" s="20" t="str">
        <x:v>Ưu tiên tự động hóa</x:v>
      </x:c>
      <x:c r="U298" s="20" t="str">
        <x:v>Kịch bản rủi ro/biên; nếu vượt yêu cầu backlog, xác nhận PO.</x:v>
      </x:c>
      <x:c r="V298" s="20" t="str">
        <x:v>S8-03</x:v>
      </x:c>
      <x:c r="W298" s="20" t="str">
        <x:v>Bổ sung QA</x:v>
      </x:c>
    </x:row>
    <x:row r="299" ht="92" customHeight="1">
      <x:c r="A299" s="20" t="str">
        <x:v>TC-S8-04-01</x:v>
      </x:c>
      <x:c r="B299" s="20" t="n">
        <x:v>8</x:v>
      </x:c>
      <x:c r="C299" s="20" t="str">
        <x:v>EP-08</x:v>
      </x:c>
      <x:c r="D299" s="20" t="str">
        <x:v>S8-04</x:v>
      </x:c>
      <x:c r="E299" s="20" t="str">
        <x:v>S8-04-AC01</x:v>
      </x:c>
      <x:c r="F299" s="20" t="str">
        <x:v>Thông báo &amp; Email</x:v>
      </x:c>
      <x:c r="G299" s="20" t="str">
        <x:v>Cấu hình riêng cho kênh trong ứng dụng và kênh email</x:v>
      </x:c>
      <x:c r="H299" s="20" t="str">
        <x:v>Functional</x:v>
      </x:c>
      <x:c r="I299" s="20" t="str">
        <x:v>Low</x:v>
      </x:c>
      <x:c r="J299" s="20" t="str">
        <x:v>nhân sự nội bộ</x:v>
      </x:c>
      <x:c r="K299" s="20" t="str">
        <x:v>Có dữ liệu tuyển dụng trải trên nhiều tuần và email test/hàng đợi.</x:v>
      </x:c>
      <x:c r="L299" s="20" t="str">
        <x:v>Dữ liệu 12 tuần; 20 hồ sơ; SMTP sandbox; 3 phòng ban</x:v>
      </x:c>
      <x:c r="M299" s="20" t="str">
        <x:v>1. Chuẩn bị dữ liệu: Có dữ liệu tuyển dụng trải trên nhiều tuần và email test/hàng đợi.
2. Đăng nhập bằng tài khoản vai trò 'nhân sự nội bộ' được phép thao tác.
3. Mở chức năng 'bật hoặc tắt từng loại thông báo cho riêng mình' trên môi trường staging.
4. Thực hiện thao tác phát sinh email/thông báo; đọc hộp thư sandbox và thông báo trong ứng dụng.
5. Đối chiếu người nhận, nội dung, thời điểm, trạng thái và việc chống gửi trùng.</x:v>
      </x:c>
      <x:c r="N299" s="20" t="str">
        <x:v>Cấu hình riêng cho kênh trong ứng dụng và kênh email</x:v>
      </x:c>
      <x:c r="O299" s="20" t="str"/>
      <x:c r="P299" s="20" t="str">
        <x:v>Chưa chạy</x:v>
      </x:c>
      <x:c r="Q299" s="20" t="str"/>
      <x:c r="R299" s="20" t="str"/>
      <x:c r="S299" s="26" t="str"/>
      <x:c r="T299" s="20" t="str">
        <x:v>Cân nhắc</x:v>
      </x:c>
      <x:c r="U299" s="20" t="str">
        <x:v>Nguồn: 4. Product Backlog!F91, tiêu chí 1</x:v>
      </x:c>
      <x:c r="V299" s="20" t="str">
        <x:v>S8-04</x:v>
      </x:c>
      <x:c r="W299" s="20" t="str">
        <x:v>Backlog / AC</x:v>
      </x:c>
    </x:row>
    <x:row r="300" ht="92" customHeight="1">
      <x:c r="A300" s="20" t="str">
        <x:v>TC-S8-04-02</x:v>
      </x:c>
      <x:c r="B300" s="20" t="n">
        <x:v>8</x:v>
      </x:c>
      <x:c r="C300" s="20" t="str">
        <x:v>EP-08</x:v>
      </x:c>
      <x:c r="D300" s="20" t="str">
        <x:v>S8-04</x:v>
      </x:c>
      <x:c r="E300" s="20" t="str">
        <x:v>S8-04-AC02</x:v>
      </x:c>
      <x:c r="F300" s="20" t="str">
        <x:v>Thông báo &amp; Email</x:v>
      </x:c>
      <x:c r="G300" s="20" t="str">
        <x:v>Thông báo bắt buộc như yêu cầu chờ duyệt thì không tắt được</x:v>
      </x:c>
      <x:c r="H300" s="20" t="str">
        <x:v>Functional</x:v>
      </x:c>
      <x:c r="I300" s="20" t="str">
        <x:v>Low</x:v>
      </x:c>
      <x:c r="J300" s="20" t="str">
        <x:v>nhân sự nội bộ</x:v>
      </x:c>
      <x:c r="K300" s="20" t="str">
        <x:v>Có dữ liệu tuyển dụng trải trên nhiều tuần và email test/hàng đợi.</x:v>
      </x:c>
      <x:c r="L300" s="20" t="str">
        <x:v>Dữ liệu 12 tuần; 20 hồ sơ; SMTP sandbox; 3 phòng ban</x:v>
      </x:c>
      <x:c r="M300" s="20" t="str">
        <x:v>1. Chuẩn bị dữ liệu: Có dữ liệu tuyển dụng trải trên nhiều tuần và email test/hàng đợi.
2. Đăng nhập bằng tài khoản vai trò 'nhân sự nội bộ' được phép thao tác.
3. Mở chức năng 'bật hoặc tắt từng loại thông báo cho riêng mình' trên môi trường staging.
4. Thử một bộ dữ liệu hợp lệ và một bộ thiếu/sai điều kiện bắt buộc; thực hiện Lưu/Gửi duyệt.
5. So sánh xác thực UI/API và dữ liệu được ghi.</x:v>
      </x:c>
      <x:c r="N300" s="20" t="str">
        <x:v>Thông báo bắt buộc như yêu cầu chờ duyệt thì không tắt được</x:v>
      </x:c>
      <x:c r="O300" s="20" t="str"/>
      <x:c r="P300" s="20" t="str">
        <x:v>Chưa chạy</x:v>
      </x:c>
      <x:c r="Q300" s="20" t="str"/>
      <x:c r="R300" s="20" t="str"/>
      <x:c r="S300" s="26" t="str"/>
      <x:c r="T300" s="20" t="str">
        <x:v>Cân nhắc</x:v>
      </x:c>
      <x:c r="U300" s="20" t="str">
        <x:v>Nguồn: 4. Product Backlog!F91, tiêu chí 2</x:v>
      </x:c>
      <x:c r="V300" s="20" t="str">
        <x:v>S8-04</x:v>
      </x:c>
      <x:c r="W300" s="20" t="str">
        <x:v>Backlog / AC</x:v>
      </x:c>
    </x:row>
    <x:row r="301" ht="92" customHeight="1">
      <x:c r="A301" s="20" t="str">
        <x:v>TC-S8-04-X01</x:v>
      </x:c>
      <x:c r="B301" s="20" t="n">
        <x:v>8</x:v>
      </x:c>
      <x:c r="C301" s="20" t="str">
        <x:v>EP-08</x:v>
      </x:c>
      <x:c r="D301" s="20" t="str">
        <x:v>S8-04</x:v>
      </x:c>
      <x:c r="E301" s="20" t="str">
        <x:v>QA-EXTRA</x:v>
      </x:c>
      <x:c r="F301" s="20" t="str">
        <x:v>Thông báo &amp; Email</x:v>
      </x:c>
      <x:c r="G301" s="20" t="str">
        <x:v>Thông báo bắt buộc vẫn được gửi khi tắt tùy chọn</x:v>
      </x:c>
      <x:c r="H301" s="20" t="str">
        <x:v>Negative</x:v>
      </x:c>
      <x:c r="I301" s="20" t="str">
        <x:v>Low</x:v>
      </x:c>
      <x:c r="J301" s="20" t="str">
        <x:v>nhân sự nội bộ</x:v>
      </x:c>
      <x:c r="K301" s="20" t="str">
        <x:v>Có dữ liệu tuyển dụng trải trên nhiều tuần và email test/hàng đợi.</x:v>
      </x:c>
      <x:c r="L301" s="20" t="str">
        <x:v>Tắt tất cả thông báo không bắt buộc</x:v>
      </x:c>
      <x:c r="M301" s="20" t="str">
        <x:v>1. Tắt email/in-app tùy chọn
2. Tạo request chờ duyệt của user
3. Kiểm tra chuông và email</x:v>
      </x:c>
      <x:c r="N301" s="20" t="str">
        <x:v>Yêu cầu chờ duyệt vẫn xuất hiện theo kênh bắt buộc đã quy định</x:v>
      </x:c>
      <x:c r="O301" s="20" t="str"/>
      <x:c r="P301" s="20" t="str">
        <x:v>Chưa chạy</x:v>
      </x:c>
      <x:c r="Q301" s="20" t="str"/>
      <x:c r="R301" s="20" t="str"/>
      <x:c r="S301" s="26" t="str"/>
      <x:c r="T301" s="20" t="str">
        <x:v>Cân nhắc</x:v>
      </x:c>
      <x:c r="U301" s="20" t="str">
        <x:v>Kịch bản rủi ro/biên; nếu vượt yêu cầu backlog, xác nhận PO.</x:v>
      </x:c>
      <x:c r="V301" s="20" t="str">
        <x:v>S8-04</x:v>
      </x:c>
      <x:c r="W301" s="20" t="str">
        <x:v>Bổ sung QA</x:v>
      </x:c>
    </x:row>
    <x:row r="302" ht="92" customHeight="1">
      <x:c r="A302" s="20" t="str">
        <x:v>TC-S8-05-01</x:v>
      </x:c>
      <x:c r="B302" s="20" t="n">
        <x:v>8</x:v>
      </x:c>
      <x:c r="C302" s="20" t="str">
        <x:v>EP-09</x:v>
      </x:c>
      <x:c r="D302" s="20" t="str">
        <x:v>S8-05</x:v>
      </x:c>
      <x:c r="E302" s="20" t="str">
        <x:v>S8-05-AC01</x:v>
      </x:c>
      <x:c r="F302" s="20" t="str">
        <x:v>Báo cáo &amp; Dashboard</x:v>
      </x:c>
      <x:c r="G302" s="20" t="str">
        <x:v>Thẻ chỉ số: vị trí đang mở, hồ sơ mới trong tuần, phỏng vấn sắp tới, offer đang chờ phản hồi</x:v>
      </x:c>
      <x:c r="H302" s="20" t="str">
        <x:v>Negative / RBAC</x:v>
      </x:c>
      <x:c r="I302" s="20" t="str">
        <x:v>High</x:v>
      </x:c>
      <x:c r="J302" s="20" t="str">
        <x:v>Trưởng phòng Nhân sự</x:v>
      </x:c>
      <x:c r="K302" s="20" t="str">
        <x:v>Có dữ liệu tuyển dụng trải trên nhiều tuần và email test/hàng đợi.</x:v>
      </x:c>
      <x:c r="L302" s="20" t="str">
        <x:v>Dữ liệu 12 tuần; 20 hồ sơ; SMTP sandbox; 3 phòng ban</x:v>
      </x:c>
      <x:c r="M302" s="20" t="str">
        <x:v>1. Chuẩn bị dữ liệu: Có dữ liệu tuyển dụng trải trên nhiều tuần và email test/hàng đợi.
2. Đăng nhập bằng tài khoản vai trò 'Trưởng phòng Nhân sự' được phép thao tác.
3. Mở chức năng 'xem dashboard tổng quan hoạt động tuyển dụng'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302" s="20" t="str">
        <x:v>Thẻ chỉ số: vị trí đang mở, hồ sơ mới trong tuần, phỏng vấn sắp tới, offer đang chờ phản hồi</x:v>
      </x:c>
      <x:c r="O302" s="20" t="str"/>
      <x:c r="P302" s="20" t="str">
        <x:v>Chưa chạy</x:v>
      </x:c>
      <x:c r="Q302" s="20" t="str"/>
      <x:c r="R302" s="20" t="str"/>
      <x:c r="S302" s="26" t="str"/>
      <x:c r="T302" s="20" t="str">
        <x:v>Ưu tiên tự động hóa</x:v>
      </x:c>
      <x:c r="U302" s="20" t="str">
        <x:v>Nguồn: 4. Product Backlog!F92, tiêu chí 1</x:v>
      </x:c>
      <x:c r="V302" s="20" t="str">
        <x:v>S8-05</x:v>
      </x:c>
      <x:c r="W302" s="20" t="str">
        <x:v>Backlog / AC</x:v>
      </x:c>
    </x:row>
    <x:row r="303" ht="92" customHeight="1">
      <x:c r="A303" s="20" t="str">
        <x:v>TC-S8-05-02</x:v>
      </x:c>
      <x:c r="B303" s="20" t="n">
        <x:v>8</x:v>
      </x:c>
      <x:c r="C303" s="20" t="str">
        <x:v>EP-09</x:v>
      </x:c>
      <x:c r="D303" s="20" t="str">
        <x:v>S8-05</x:v>
      </x:c>
      <x:c r="E303" s="20" t="str">
        <x:v>S8-05-AC02</x:v>
      </x:c>
      <x:c r="F303" s="20" t="str">
        <x:v>Báo cáo &amp; Dashboard</x:v>
      </x:c>
      <x:c r="G303" s="20" t="str">
        <x:v>Biểu đồ số hồ sơ theo tuần và số vị trí đóng theo tháng</x:v>
      </x:c>
      <x:c r="H303" s="20" t="str">
        <x:v>Functional</x:v>
      </x:c>
      <x:c r="I303" s="20" t="str">
        <x:v>High</x:v>
      </x:c>
      <x:c r="J303" s="20" t="str">
        <x:v>Trưởng phòng Nhân sự</x:v>
      </x:c>
      <x:c r="K303" s="20" t="str">
        <x:v>Có dữ liệu tuyển dụng trải trên nhiều tuần và email test/hàng đợi.</x:v>
      </x:c>
      <x:c r="L303" s="20" t="str">
        <x:v>Dữ liệu 12 tuần; 20 hồ sơ; SMTP sandbox; 3 phòng ban</x:v>
      </x:c>
      <x:c r="M303" s="20" t="str">
        <x:v>1. Chuẩn bị dữ liệu: Có dữ liệu tuyển dụng trải trên nhiều tuần và email test/hàng đợi.
2. Đăng nhập bằng tài khoản vai trò 'Trưởng phòng Nhân sự' được phép thao tác.
3. Mở chức năng 'xem dashboard tổng quan hoạt động tuyển dụng' trên môi trường staging.
4. Tạo dữ liệu đối chứng thuộc và không thuộc điều kiện; áp dụng bộ lọc/tìm kiếm/sắp xếp tương ứng.
5. Đối chiếu danh sách/kết quả tổng hợp với dữ liệu gốc.</x:v>
      </x:c>
      <x:c r="N303" s="20" t="str">
        <x:v>Biểu đồ số hồ sơ theo tuần và số vị trí đóng theo tháng</x:v>
      </x:c>
      <x:c r="O303" s="20" t="str"/>
      <x:c r="P303" s="20" t="str">
        <x:v>Chưa chạy</x:v>
      </x:c>
      <x:c r="Q303" s="20" t="str"/>
      <x:c r="R303" s="20" t="str"/>
      <x:c r="S303" s="26" t="str"/>
      <x:c r="T303" s="20" t="str">
        <x:v>Ưu tiên tự động hóa</x:v>
      </x:c>
      <x:c r="U303" s="20" t="str">
        <x:v>Nguồn: 4. Product Backlog!F92, tiêu chí 2</x:v>
      </x:c>
      <x:c r="V303" s="20" t="str">
        <x:v>S8-05</x:v>
      </x:c>
      <x:c r="W303" s="20" t="str">
        <x:v>Backlog / AC</x:v>
      </x:c>
    </x:row>
    <x:row r="304" ht="92" customHeight="1">
      <x:c r="A304" s="20" t="str">
        <x:v>TC-S8-05-03</x:v>
      </x:c>
      <x:c r="B304" s="20" t="n">
        <x:v>8</x:v>
      </x:c>
      <x:c r="C304" s="20" t="str">
        <x:v>EP-09</x:v>
      </x:c>
      <x:c r="D304" s="20" t="str">
        <x:v>S8-05</x:v>
      </x:c>
      <x:c r="E304" s="20" t="str">
        <x:v>S8-05-AC03</x:v>
      </x:c>
      <x:c r="F304" s="20" t="str">
        <x:v>Báo cáo &amp; Dashboard</x:v>
      </x:c>
      <x:c r="G304" s="20" t="str">
        <x:v>Danh sách vị trí trễ hạn so với ngày cần người, xếp theo mức độ trễ</x:v>
      </x:c>
      <x:c r="H304" s="20" t="str">
        <x:v>Functional</x:v>
      </x:c>
      <x:c r="I304" s="20" t="str">
        <x:v>High</x:v>
      </x:c>
      <x:c r="J304" s="20" t="str">
        <x:v>Trưởng phòng Nhân sự</x:v>
      </x:c>
      <x:c r="K304" s="20" t="str">
        <x:v>Có dữ liệu tuyển dụng trải trên nhiều tuần và email test/hàng đợi.</x:v>
      </x:c>
      <x:c r="L304" s="20" t="str">
        <x:v>Dữ liệu 12 tuần; 20 hồ sơ; SMTP sandbox; 3 phòng ban</x:v>
      </x:c>
      <x:c r="M304" s="20" t="str">
        <x:v>1. Chuẩn bị dữ liệu: Có dữ liệu tuyển dụng trải trên nhiều tuần và email test/hàng đợi.
2. Đăng nhập bằng tài khoản vai trò 'Trưởng phòng Nhân sự' được phép thao tác.
3. Mở chức năng 'xem dashboard tổng quan hoạt động tuyển dụng' trên môi trường staging.
4. Seed 3 vị trí còn 5 ngày, quá hạn 2 ngày và quá hạn 7 ngày
5. mở dashboard
6. xem thứ tự trễ hạn.
7. Ghi kết quả thực tế và đối chiếu tiêu chí S8-05-AC03.</x:v>
      </x:c>
      <x:c r="N304" s="20" t="str">
        <x:v>Danh sách vị trí trễ hạn so với ngày cần người, xếp theo mức độ trễ</x:v>
      </x:c>
      <x:c r="O304" s="20" t="str"/>
      <x:c r="P304" s="20" t="str">
        <x:v>Chưa chạy</x:v>
      </x:c>
      <x:c r="Q304" s="20" t="str"/>
      <x:c r="R304" s="20" t="str"/>
      <x:c r="S304" s="26" t="str"/>
      <x:c r="T304" s="20" t="str">
        <x:v>Ưu tiên tự động hóa</x:v>
      </x:c>
      <x:c r="U304" s="20" t="str">
        <x:v>Nguồn: 4. Product Backlog!F92, tiêu chí 3</x:v>
      </x:c>
      <x:c r="V304" s="20" t="str">
        <x:v>S8-05</x:v>
      </x:c>
      <x:c r="W304" s="20" t="str">
        <x:v>Backlog / AC</x:v>
      </x:c>
    </x:row>
    <x:row r="305" ht="92" customHeight="1">
      <x:c r="A305" s="20" t="str">
        <x:v>TC-S8-05-04</x:v>
      </x:c>
      <x:c r="B305" s="20" t="n">
        <x:v>8</x:v>
      </x:c>
      <x:c r="C305" s="20" t="str">
        <x:v>EP-09</x:v>
      </x:c>
      <x:c r="D305" s="20" t="str">
        <x:v>S8-05</x:v>
      </x:c>
      <x:c r="E305" s="20" t="str">
        <x:v>S8-05-AC04</x:v>
      </x:c>
      <x:c r="F305" s="20" t="str">
        <x:v>Báo cáo &amp; Dashboard</x:v>
      </x:c>
      <x:c r="G305" s="20" t="str">
        <x:v>Toàn bộ dữ liệu tải xong dưới 2 giây</x:v>
      </x:c>
      <x:c r="H305" s="20" t="str">
        <x:v>Boundary</x:v>
      </x:c>
      <x:c r="I305" s="20" t="str">
        <x:v>High</x:v>
      </x:c>
      <x:c r="J305" s="20" t="str">
        <x:v>Trưởng phòng Nhân sự</x:v>
      </x:c>
      <x:c r="K305" s="20" t="str">
        <x:v>Có dữ liệu tuyển dụng trải trên nhiều tuần và email test/hàng đợi.</x:v>
      </x:c>
      <x:c r="L305" s="20" t="str">
        <x:v>Dữ liệu 12 tuần; 20 hồ sơ; SMTP sandbox; 3 phòng ban</x:v>
      </x:c>
      <x:c r="M305" s="20" t="str">
        <x:v>1. Chuẩn bị dữ liệu: Có dữ liệu tuyển dụng trải trên nhiều tuần và email test/hàng đợi.
2. Đăng nhập bằng tài khoản vai trò 'Trưởng phòng Nhân sự' được phép thao tác.
3. Mở chức năng 'xem dashboard tổng quan hoạt động tuyển dụng' trên môi trường staging.
4. Seed dữ liệu 12 tuần
5. mở dashboard trên môi trường chuẩn
6. đo network waterfall 30 lần cả cache lạnh/ấm.
7. Ghi kết quả thực tế và đối chiếu tiêu chí S8-05-AC04.</x:v>
      </x:c>
      <x:c r="N305" s="20" t="str">
        <x:v>Toàn bộ dữ liệu tải xong dưới 2 giây</x:v>
      </x:c>
      <x:c r="O305" s="20" t="str"/>
      <x:c r="P305" s="20" t="str">
        <x:v>Chưa chạy</x:v>
      </x:c>
      <x:c r="Q305" s="20" t="str"/>
      <x:c r="R305" s="20" t="str"/>
      <x:c r="S305" s="26" t="str"/>
      <x:c r="T305" s="20" t="str">
        <x:v>Ưu tiên tự động hóa</x:v>
      </x:c>
      <x:c r="U305" s="20" t="str">
        <x:v>Nguồn: 4. Product Backlog!F92, tiêu chí 4</x:v>
      </x:c>
      <x:c r="V305" s="20" t="str">
        <x:v>S8-05</x:v>
      </x:c>
      <x:c r="W305" s="20" t="str">
        <x:v>Backlog / AC</x:v>
      </x:c>
    </x:row>
    <x:row r="306" ht="92" customHeight="1">
      <x:c r="A306" s="20" t="str">
        <x:v>TC-S8-05-X01</x:v>
      </x:c>
      <x:c r="B306" s="20" t="n">
        <x:v>8</x:v>
      </x:c>
      <x:c r="C306" s="20" t="str">
        <x:v>EP-09</x:v>
      </x:c>
      <x:c r="D306" s="20" t="str">
        <x:v>S8-05</x:v>
      </x:c>
      <x:c r="E306" s="20" t="str">
        <x:v>QA-EXTRA</x:v>
      </x:c>
      <x:c r="F306" s="20" t="str">
        <x:v>Báo cáo &amp; Dashboard</x:v>
      </x:c>
      <x:c r="G306" s="20" t="str">
        <x:v>Dashboard không đếm trùng ứng viên có nhiều lần ứng tuyển</x:v>
      </x:c>
      <x:c r="H306" s="20" t="str">
        <x:v>Data integrity</x:v>
      </x:c>
      <x:c r="I306" s="20" t="str">
        <x:v>High</x:v>
      </x:c>
      <x:c r="J306" s="20" t="str">
        <x:v>Trưởng phòng Nhân sự</x:v>
      </x:c>
      <x:c r="K306" s="20" t="str">
        <x:v>Có dữ liệu tuyển dụng trải trên nhiều tuần và email test/hàng đợi.</x:v>
      </x:c>
      <x:c r="L306" s="20" t="str">
        <x:v>1 ứng viên apply 2 job; 2 offer đang chờ của 2 ứng viên</x:v>
      </x:c>
      <x:c r="M306" s="20" t="str">
        <x:v>1. Tạo dữ liệu
2. Mở dashboard
3. So sánh với câu truy vấn thống kê theo định nghĩa metric</x:v>
      </x:c>
      <x:c r="N306" s="20" t="str">
        <x:v>Các card đúng đơn vị đếm đã được PO chốt (ứng viên, hồ sơ hoặc vị trí); không lệch do join</x:v>
      </x:c>
      <x:c r="O306" s="20" t="str"/>
      <x:c r="P306" s="20" t="str">
        <x:v>Chưa chạy</x:v>
      </x:c>
      <x:c r="Q306" s="20" t="str"/>
      <x:c r="R306" s="20" t="str"/>
      <x:c r="S306" s="26" t="str"/>
      <x:c r="T306" s="20" t="str">
        <x:v>Ưu tiên tự động hóa</x:v>
      </x:c>
      <x:c r="U306" s="20" t="str">
        <x:v>Kịch bản rủi ro/biên; nếu vượt yêu cầu backlog, xác nhận PO.</x:v>
      </x:c>
      <x:c r="V306" s="20" t="str">
        <x:v>S8-05</x:v>
      </x:c>
      <x:c r="W306" s="20" t="str">
        <x:v>Bổ sung QA</x:v>
      </x:c>
    </x:row>
    <x:row r="307" ht="92" customHeight="1">
      <x:c r="A307" s="20" t="str">
        <x:v>TC-S8-06-01</x:v>
      </x:c>
      <x:c r="B307" s="20" t="n">
        <x:v>8</x:v>
      </x:c>
      <x:c r="C307" s="20" t="str">
        <x:v>EP-09</x:v>
      </x:c>
      <x:c r="D307" s="20" t="str">
        <x:v>S8-06</x:v>
      </x:c>
      <x:c r="E307" s="20" t="str">
        <x:v>S8-06-AC01</x:v>
      </x:c>
      <x:c r="F307" s="20" t="str">
        <x:v>Báo cáo &amp; Dashboard</x:v>
      </x:c>
      <x:c r="G307" s="20" t="str">
        <x:v>Hiển thị số hồ sơ ở từng giai đoạn của riêng vị trí đó</x:v>
      </x:c>
      <x:c r="H307" s="20" t="str">
        <x:v>Functional</x:v>
      </x:c>
      <x:c r="I307" s="20" t="str">
        <x:v>Medium</x:v>
      </x:c>
      <x:c r="J307" s="20" t="str">
        <x:v>Trưởng bộ phận</x:v>
      </x:c>
      <x:c r="K307" s="20" t="str">
        <x:v>Có dữ liệu tuyển dụng trải trên nhiều tuần và email test/hàng đợi.</x:v>
      </x:c>
      <x:c r="L307" s="20" t="str">
        <x:v>Dữ liệu 12 tuần; 20 hồ sơ; SMTP sandbox; 3 phòng ban</x:v>
      </x:c>
      <x:c r="M307" s="20" t="str">
        <x:v>1. Chuẩn bị dữ liệu: Có dữ liệu tuyển dụng trải trên nhiều tuần và email test/hàng đợi.
2. Đăng nhập bằng tài khoản vai trò 'Trưởng bộ phận' được phép thao tác.
3. Mở chức năng 'xem tiến độ tuyển dụng của vị trí mình sở hữu' trên môi trường staging.
4. Đăng nhập Manager A
5. mở JOB-A có 3 ứng viên mới, 2 phỏng vấn
6. đối chiếu số ở từng giai đoạn.
7. Ghi kết quả thực tế và đối chiếu tiêu chí S8-06-AC01.</x:v>
      </x:c>
      <x:c r="N307" s="20" t="str">
        <x:v>Hiển thị số hồ sơ ở từng giai đoạn của riêng vị trí đó</x:v>
      </x:c>
      <x:c r="O307" s="20" t="str"/>
      <x:c r="P307" s="20" t="str">
        <x:v>Chưa chạy</x:v>
      </x:c>
      <x:c r="Q307" s="20" t="str"/>
      <x:c r="R307" s="20" t="str"/>
      <x:c r="S307" s="26" t="str"/>
      <x:c r="T307" s="20" t="str">
        <x:v>Cân nhắc</x:v>
      </x:c>
      <x:c r="U307" s="20" t="str">
        <x:v>Nguồn: 4. Product Backlog!F93, tiêu chí 1</x:v>
      </x:c>
      <x:c r="V307" s="20" t="str">
        <x:v>S8-06</x:v>
      </x:c>
      <x:c r="W307" s="20" t="str">
        <x:v>Backlog / AC</x:v>
      </x:c>
    </x:row>
    <x:row r="308" ht="92" customHeight="1">
      <x:c r="A308" s="20" t="str">
        <x:v>TC-S8-06-02</x:v>
      </x:c>
      <x:c r="B308" s="20" t="n">
        <x:v>8</x:v>
      </x:c>
      <x:c r="C308" s="20" t="str">
        <x:v>EP-09</x:v>
      </x:c>
      <x:c r="D308" s="20" t="str">
        <x:v>S8-06</x:v>
      </x:c>
      <x:c r="E308" s="20" t="str">
        <x:v>S8-06-AC02</x:v>
      </x:c>
      <x:c r="F308" s="20" t="str">
        <x:v>Báo cáo &amp; Dashboard</x:v>
      </x:c>
      <x:c r="G308" s="20" t="str">
        <x:v>Lịch phỏng vấn sắp tới và ứng viên đang chờ mình cho ý kiến</x:v>
      </x:c>
      <x:c r="H308" s="20" t="str">
        <x:v>Functional</x:v>
      </x:c>
      <x:c r="I308" s="20" t="str">
        <x:v>Medium</x:v>
      </x:c>
      <x:c r="J308" s="20" t="str">
        <x:v>Trưởng bộ phận</x:v>
      </x:c>
      <x:c r="K308" s="20" t="str">
        <x:v>Có dữ liệu tuyển dụng trải trên nhiều tuần và email test/hàng đợi.</x:v>
      </x:c>
      <x:c r="L308" s="20" t="str">
        <x:v>Dữ liệu 12 tuần; 20 hồ sơ; SMTP sandbox; 3 phòng ban</x:v>
      </x:c>
      <x:c r="M308" s="20" t="str">
        <x:v>1. Chuẩn bị dữ liệu: Có dữ liệu tuyển dụng trải trên nhiều tuần và email test/hàng đợi.
2. Đăng nhập bằng tài khoản vai trò 'Trưởng bộ phận' được phép thao tác.
3. Mở chức năng 'xem tiến độ tuyển dụng của vị trí mình sở hữu' trên môi trường staging.
4. Seed 2 buổi phỏng vấn và 1 yêu cầu quyết định của Manager A
5. mở dashboard của A và click liên kết.
6. Ghi kết quả thực tế và đối chiếu tiêu chí S8-06-AC02.</x:v>
      </x:c>
      <x:c r="N308" s="20" t="str">
        <x:v>Lịch phỏng vấn sắp tới và ứng viên đang chờ mình cho ý kiến</x:v>
      </x:c>
      <x:c r="O308" s="20" t="str"/>
      <x:c r="P308" s="20" t="str">
        <x:v>Chưa chạy</x:v>
      </x:c>
      <x:c r="Q308" s="20" t="str"/>
      <x:c r="R308" s="20" t="str"/>
      <x:c r="S308" s="26" t="str"/>
      <x:c r="T308" s="20" t="str">
        <x:v>Cân nhắc</x:v>
      </x:c>
      <x:c r="U308" s="20" t="str">
        <x:v>Nguồn: 4. Product Backlog!F93, tiêu chí 2</x:v>
      </x:c>
      <x:c r="V308" s="20" t="str">
        <x:v>S8-06</x:v>
      </x:c>
      <x:c r="W308" s="20" t="str">
        <x:v>Backlog / AC</x:v>
      </x:c>
    </x:row>
    <x:row r="309" ht="92" customHeight="1">
      <x:c r="A309" s="20" t="str">
        <x:v>TC-S8-06-03</x:v>
      </x:c>
      <x:c r="B309" s="20" t="n">
        <x:v>8</x:v>
      </x:c>
      <x:c r="C309" s="20" t="str">
        <x:v>EP-09</x:v>
      </x:c>
      <x:c r="D309" s="20" t="str">
        <x:v>S8-06</x:v>
      </x:c>
      <x:c r="E309" s="20" t="str">
        <x:v>S8-06-AC03</x:v>
      </x:c>
      <x:c r="F309" s="20" t="str">
        <x:v>Báo cáo &amp; Dashboard</x:v>
      </x:c>
      <x:c r="G309" s="20" t="str">
        <x:v>Số ngày còn lại so với ngày cần người</x:v>
      </x:c>
      <x:c r="H309" s="20" t="str">
        <x:v>Functional</x:v>
      </x:c>
      <x:c r="I309" s="20" t="str">
        <x:v>Medium</x:v>
      </x:c>
      <x:c r="J309" s="20" t="str">
        <x:v>Trưởng bộ phận</x:v>
      </x:c>
      <x:c r="K309" s="20" t="str">
        <x:v>Có dữ liệu tuyển dụng trải trên nhiều tuần và email test/hàng đợi.</x:v>
      </x:c>
      <x:c r="L309" s="20" t="str">
        <x:v>Dữ liệu 12 tuần; 20 hồ sơ; SMTP sandbox; 3 phòng ban</x:v>
      </x:c>
      <x:c r="M309" s="20" t="str">
        <x:v>1. Chuẩn bị dữ liệu: Có dữ liệu tuyển dụng trải trên nhiều tuần và email test/hàng đợi.
2. Đăng nhập bằng tài khoản vai trò 'Trưởng bộ phận' được phép thao tác.
3. Mở chức năng 'xem tiến độ tuyển dụng của vị trí mình sở hữu' trên môi trường staging.
4. Tạo JOB-A ngày cần người 20/10
5. kiểm tra số ngày còn lại trên ngày test và khi vượt hạn.
6. Ghi kết quả thực tế và đối chiếu tiêu chí S8-06-AC03.</x:v>
      </x:c>
      <x:c r="N309" s="20" t="str">
        <x:v>Số ngày còn lại so với ngày cần người</x:v>
      </x:c>
      <x:c r="O309" s="20" t="str"/>
      <x:c r="P309" s="20" t="str">
        <x:v>Chưa chạy</x:v>
      </x:c>
      <x:c r="Q309" s="20" t="str"/>
      <x:c r="R309" s="20" t="str"/>
      <x:c r="S309" s="26" t="str"/>
      <x:c r="T309" s="20" t="str">
        <x:v>Cân nhắc</x:v>
      </x:c>
      <x:c r="U309" s="20" t="str">
        <x:v>Nguồn: 4. Product Backlog!F93, tiêu chí 3</x:v>
      </x:c>
      <x:c r="V309" s="20" t="str">
        <x:v>S8-06</x:v>
      </x:c>
      <x:c r="W309" s="20" t="str">
        <x:v>Backlog / AC</x:v>
      </x:c>
    </x:row>
    <x:row r="310" ht="92" customHeight="1">
      <x:c r="A310" s="20" t="str">
        <x:v>TC-S8-06-X01</x:v>
      </x:c>
      <x:c r="B310" s="20" t="n">
        <x:v>8</x:v>
      </x:c>
      <x:c r="C310" s="20" t="str">
        <x:v>EP-09</x:v>
      </x:c>
      <x:c r="D310" s="20" t="str">
        <x:v>S8-06</x:v>
      </x:c>
      <x:c r="E310" s="20" t="str">
        <x:v>QA-EXTRA</x:v>
      </x:c>
      <x:c r="F310" s="20" t="str">
        <x:v>Báo cáo &amp; Dashboard</x:v>
      </x:c>
      <x:c r="G310" s="20" t="str">
        <x:v>Manager A không thấy thống kê vị trí B</x:v>
      </x:c>
      <x:c r="H310" s="20" t="str">
        <x:v>Security / RBAC</x:v>
      </x:c>
      <x:c r="I310" s="20" t="str">
        <x:v>Medium</x:v>
      </x:c>
      <x:c r="J310" s="20" t="str">
        <x:v>Trưởng bộ phận</x:v>
      </x:c>
      <x:c r="K310" s="20" t="str">
        <x:v>Có dữ liệu tuyển dụng trải trên nhiều tuần và email test/hàng đợi.</x:v>
      </x:c>
      <x:c r="L310" s="20" t="str">
        <x:v>Manager A sở hữu job A, B thuộc manager khác</x:v>
      </x:c>
      <x:c r="M310" s="20" t="str">
        <x:v>1. Mở dashboard của A
2. Đổi job_id trong request
3. Kiểm tra tổng/chi tiết</x:v>
      </x:c>
      <x:c r="N310" s="20" t="str">
        <x:v>Không trả số liệu hoặc danh sách cá nhân của job B; hạn chế theo quyền server</x:v>
      </x:c>
      <x:c r="O310" s="20" t="str"/>
      <x:c r="P310" s="20" t="str">
        <x:v>Chưa chạy</x:v>
      </x:c>
      <x:c r="Q310" s="20" t="str"/>
      <x:c r="R310" s="20" t="str"/>
      <x:c r="S310" s="26" t="str"/>
      <x:c r="T310" s="20" t="str">
        <x:v>Cân nhắc</x:v>
      </x:c>
      <x:c r="U310" s="20" t="str">
        <x:v>Kịch bản rủi ro/biên; nếu vượt yêu cầu backlog, xác nhận PO.</x:v>
      </x:c>
      <x:c r="V310" s="20" t="str">
        <x:v>S8-06</x:v>
      </x:c>
      <x:c r="W310" s="20" t="str">
        <x:v>Bổ sung QA</x:v>
      </x:c>
    </x:row>
    <x:row r="311" ht="92" customHeight="1">
      <x:c r="A311" s="20" t="str">
        <x:v>TC-S8-07-01</x:v>
      </x:c>
      <x:c r="B311" s="20" t="n">
        <x:v>8</x:v>
      </x:c>
      <x:c r="C311" s="20" t="str">
        <x:v>EP-09</x:v>
      </x:c>
      <x:c r="D311" s="20" t="str">
        <x:v>S8-07</x:v>
      </x:c>
      <x:c r="E311" s="20" t="str">
        <x:v>S8-07-AC01</x:v>
      </x:c>
      <x:c r="F311" s="20" t="str">
        <x:v>Báo cáo &amp; Dashboard</x:v>
      </x:c>
      <x:c r="G311" s="20" t="str">
        <x:v>Số ứng viên ở từng giai đoạn và tỷ lệ chuyển đổi giữa các giai đoạn</x:v>
      </x:c>
      <x:c r="H311" s="20" t="str">
        <x:v>Functional</x:v>
      </x:c>
      <x:c r="I311" s="20" t="str">
        <x:v>High</x:v>
      </x:c>
      <x:c r="J311" s="20" t="str">
        <x:v>Trưởng phòng Nhân sự</x:v>
      </x:c>
      <x:c r="K311" s="20" t="str">
        <x:v>Có dữ liệu tuyển dụng trải trên nhiều tuần và email test/hàng đợi.</x:v>
      </x:c>
      <x:c r="L311" s="20" t="str">
        <x:v>Dữ liệu 12 tuần; 20 hồ sơ; SMTP sandbox; 3 phòng ban</x:v>
      </x:c>
      <x:c r="M311" s="20" t="str">
        <x:v>1. Chuẩn bị dữ liệu: Có dữ liệu tuyển dụng trải trên nhiều tuần và email test/hàng đợi.
2. Đăng nhập bằng tài khoản vai trò 'Trưởng phòng Nhân sự' được phép thao tác.
3. Mở chức năng 'xem báo cáo phễu tuyển dụng và tỷ lệ chuyển đổi' trên môi trường staging.
4. Seed pipeline 100 hồ sơ, 40 qua sàng lọc, 10 phỏng vấn
5. mở funnel, đối chiếu 40% và 25%.
6. Ghi kết quả thực tế và đối chiếu tiêu chí S8-07-AC01.</x:v>
      </x:c>
      <x:c r="N311" s="20" t="str">
        <x:v>Số ứng viên ở từng giai đoạn và tỷ lệ chuyển đổi giữa các giai đoạn</x:v>
      </x:c>
      <x:c r="O311" s="20" t="str"/>
      <x:c r="P311" s="20" t="str">
        <x:v>Chưa chạy</x:v>
      </x:c>
      <x:c r="Q311" s="20" t="str"/>
      <x:c r="R311" s="20" t="str"/>
      <x:c r="S311" s="26" t="str"/>
      <x:c r="T311" s="20" t="str">
        <x:v>Ưu tiên tự động hóa</x:v>
      </x:c>
      <x:c r="U311" s="20" t="str">
        <x:v>Nguồn: 4. Product Backlog!F94, tiêu chí 1</x:v>
      </x:c>
      <x:c r="V311" s="20" t="str">
        <x:v>S8-07</x:v>
      </x:c>
      <x:c r="W311" s="20" t="str">
        <x:v>Backlog / AC</x:v>
      </x:c>
    </x:row>
    <x:row r="312" ht="92" customHeight="1">
      <x:c r="A312" s="20" t="str">
        <x:v>TC-S8-07-02</x:v>
      </x:c>
      <x:c r="B312" s="20" t="n">
        <x:v>8</x:v>
      </x:c>
      <x:c r="C312" s="20" t="str">
        <x:v>EP-09</x:v>
      </x:c>
      <x:c r="D312" s="20" t="str">
        <x:v>S8-07</x:v>
      </x:c>
      <x:c r="E312" s="20" t="str">
        <x:v>S8-07-AC02</x:v>
      </x:c>
      <x:c r="F312" s="20" t="str">
        <x:v>Báo cáo &amp; Dashboard</x:v>
      </x:c>
      <x:c r="G312" s="20" t="str">
        <x:v>Lọc theo vị trí, phòng ban, khoảng thời gian</x:v>
      </x:c>
      <x:c r="H312" s="20" t="str">
        <x:v>Functional</x:v>
      </x:c>
      <x:c r="I312" s="20" t="str">
        <x:v>High</x:v>
      </x:c>
      <x:c r="J312" s="20" t="str">
        <x:v>Trưởng phòng Nhân sự</x:v>
      </x:c>
      <x:c r="K312" s="20" t="str">
        <x:v>Có dữ liệu tuyển dụng trải trên nhiều tuần và email test/hàng đợi.</x:v>
      </x:c>
      <x:c r="L312" s="20" t="str">
        <x:v>Dữ liệu 12 tuần; 20 hồ sơ; SMTP sandbox; 3 phòng ban</x:v>
      </x:c>
      <x:c r="M312" s="20" t="str">
        <x:v>1. Chuẩn bị dữ liệu: Có dữ liệu tuyển dụng trải trên nhiều tuần và email test/hàng đợi.
2. Đăng nhập bằng tài khoản vai trò 'Trưởng phòng Nhân sự' được phép thao tác.
3. Mở chức năng 'xem báo cáo phễu tuyển dụng và tỷ lệ chuyển đổi' trên môi trường staging.
4. Tạo dữ liệu đối chứng thuộc và không thuộc điều kiện; áp dụng bộ lọc/tìm kiếm/sắp xếp tương ứng.
5. Đối chiếu danh sách/kết quả tổng hợp với dữ liệu gốc.</x:v>
      </x:c>
      <x:c r="N312" s="20" t="str">
        <x:v>Lọc theo vị trí, phòng ban, khoảng thời gian</x:v>
      </x:c>
      <x:c r="O312" s="20" t="str"/>
      <x:c r="P312" s="20" t="str">
        <x:v>Chưa chạy</x:v>
      </x:c>
      <x:c r="Q312" s="20" t="str"/>
      <x:c r="R312" s="20" t="str"/>
      <x:c r="S312" s="26" t="str"/>
      <x:c r="T312" s="20" t="str">
        <x:v>Ưu tiên tự động hóa</x:v>
      </x:c>
      <x:c r="U312" s="20" t="str">
        <x:v>Nguồn: 4. Product Backlog!F94, tiêu chí 2</x:v>
      </x:c>
      <x:c r="V312" s="20" t="str">
        <x:v>S8-07</x:v>
      </x:c>
      <x:c r="W312" s="20" t="str">
        <x:v>Backlog / AC</x:v>
      </x:c>
    </x:row>
    <x:row r="313" ht="92" customHeight="1">
      <x:c r="A313" s="20" t="str">
        <x:v>TC-S8-07-03</x:v>
      </x:c>
      <x:c r="B313" s="20" t="n">
        <x:v>8</x:v>
      </x:c>
      <x:c r="C313" s="20" t="str">
        <x:v>EP-09</x:v>
      </x:c>
      <x:c r="D313" s="20" t="str">
        <x:v>S8-07</x:v>
      </x:c>
      <x:c r="E313" s="20" t="str">
        <x:v>S8-07-AC03</x:v>
      </x:c>
      <x:c r="F313" s="20" t="str">
        <x:v>Báo cáo &amp; Dashboard</x:v>
      </x:c>
      <x:c r="G313" s="20" t="str">
        <x:v>Chỉ ra giai đoạn rơi rụng nhiều nhất</x:v>
      </x:c>
      <x:c r="H313" s="20" t="str">
        <x:v>Negative / RBAC</x:v>
      </x:c>
      <x:c r="I313" s="20" t="str">
        <x:v>High</x:v>
      </x:c>
      <x:c r="J313" s="20" t="str">
        <x:v>Trưởng phòng Nhân sự</x:v>
      </x:c>
      <x:c r="K313" s="20" t="str">
        <x:v>Có dữ liệu tuyển dụng trải trên nhiều tuần và email test/hàng đợi.</x:v>
      </x:c>
      <x:c r="L313" s="20" t="str">
        <x:v>Dữ liệu 12 tuần; 20 hồ sơ; SMTP sandbox; 3 phòng ban</x:v>
      </x:c>
      <x:c r="M313" s="20" t="str">
        <x:v>1. Chuẩn bị dữ liệu: Có dữ liệu tuyển dụng trải trên nhiều tuần và email test/hàng đợi.
2. Đăng nhập bằng tài khoản vai trò 'Trưởng phòng Nhân sự' được phép thao tác.
3. Mở chức năng 'xem báo cáo phễu tuyển dụng và tỷ lệ chuyển đổi'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313" s="20" t="str">
        <x:v>Chỉ ra giai đoạn rơi rụng nhiều nhất</x:v>
      </x:c>
      <x:c r="O313" s="20" t="str"/>
      <x:c r="P313" s="20" t="str">
        <x:v>Chưa chạy</x:v>
      </x:c>
      <x:c r="Q313" s="20" t="str"/>
      <x:c r="R313" s="20" t="str"/>
      <x:c r="S313" s="26" t="str"/>
      <x:c r="T313" s="20" t="str">
        <x:v>Ưu tiên tự động hóa</x:v>
      </x:c>
      <x:c r="U313" s="20" t="str">
        <x:v>Nguồn: 4. Product Backlog!F94, tiêu chí 3</x:v>
      </x:c>
      <x:c r="V313" s="20" t="str">
        <x:v>S8-07</x:v>
      </x:c>
      <x:c r="W313" s="20" t="str">
        <x:v>Backlog / AC</x:v>
      </x:c>
    </x:row>
    <x:row r="314" ht="92" customHeight="1">
      <x:c r="A314" s="20" t="str">
        <x:v>TC-S8-07-X01</x:v>
      </x:c>
      <x:c r="B314" s="20" t="n">
        <x:v>8</x:v>
      </x:c>
      <x:c r="C314" s="20" t="str">
        <x:v>EP-09</x:v>
      </x:c>
      <x:c r="D314" s="20" t="str">
        <x:v>S8-07</x:v>
      </x:c>
      <x:c r="E314" s="20" t="str">
        <x:v>QA-EXTRA</x:v>
      </x:c>
      <x:c r="F314" s="20" t="str">
        <x:v>Báo cáo &amp; Dashboard</x:v>
      </x:c>
      <x:c r="G314" s="20" t="str">
        <x:v>Báo cáo chuyển đổi khi mẫu số bằng 0</x:v>
      </x:c>
      <x:c r="H314" s="20" t="str">
        <x:v>Boundary</x:v>
      </x:c>
      <x:c r="I314" s="20" t="str">
        <x:v>High</x:v>
      </x:c>
      <x:c r="J314" s="20" t="str">
        <x:v>Trưởng phòng Nhân sự</x:v>
      </x:c>
      <x:c r="K314" s="20" t="str">
        <x:v>Có dữ liệu tuyển dụng trải trên nhiều tuần và email test/hàng đợi.</x:v>
      </x:c>
      <x:c r="L314" s="20" t="str">
        <x:v>Kỳ báo cáo có 0 hồ sơ ở một giai đoạn</x:v>
      </x:c>
      <x:c r="M314" s="20" t="str">
        <x:v>1. Chọn kỳ không có dữ liệu
2. Mở funnel
3. Xuất số liệu</x:v>
      </x:c>
      <x:c r="N314" s="20" t="str">
        <x:v>Không chia 0 hoặc hiển thị NaN; dùng 0%/N/A theo định nghĩa metric; biểu đồ không lỗi</x:v>
      </x:c>
      <x:c r="O314" s="20" t="str"/>
      <x:c r="P314" s="20" t="str">
        <x:v>Chưa chạy</x:v>
      </x:c>
      <x:c r="Q314" s="20" t="str"/>
      <x:c r="R314" s="20" t="str"/>
      <x:c r="S314" s="26" t="str"/>
      <x:c r="T314" s="20" t="str">
        <x:v>Ưu tiên tự động hóa</x:v>
      </x:c>
      <x:c r="U314" s="20" t="str">
        <x:v>Kịch bản rủi ro/biên; nếu vượt yêu cầu backlog, xác nhận PO.</x:v>
      </x:c>
      <x:c r="V314" s="20" t="str">
        <x:v>S8-07</x:v>
      </x:c>
      <x:c r="W314" s="20" t="str">
        <x:v>Bổ sung QA</x:v>
      </x:c>
    </x:row>
    <x:row r="315" ht="92" customHeight="1">
      <x:c r="A315" s="20" t="str">
        <x:v>TC-S8-08-01</x:v>
      </x:c>
      <x:c r="B315" s="20" t="n">
        <x:v>8</x:v>
      </x:c>
      <x:c r="C315" s="20" t="str">
        <x:v>EP-09</x:v>
      </x:c>
      <x:c r="D315" s="20" t="str">
        <x:v>S8-08</x:v>
      </x:c>
      <x:c r="E315" s="20" t="str">
        <x:v>S8-08-AC01</x:v>
      </x:c>
      <x:c r="F315" s="20" t="str">
        <x:v>Báo cáo &amp; Dashboard</x:v>
      </x:c>
      <x:c r="G315" s="20" t="str">
        <x:v>Time-to-hire: số ngày trung bình từ khi duyệt yêu cầu tới khi ứng viên nhận việc</x:v>
      </x:c>
      <x:c r="H315" s="20" t="str">
        <x:v>Functional</x:v>
      </x:c>
      <x:c r="I315" s="20" t="str">
        <x:v>Medium</x:v>
      </x:c>
      <x:c r="J315" s="20" t="str">
        <x:v>Trưởng phòng Nhân sự</x:v>
      </x:c>
      <x:c r="K315" s="20" t="str">
        <x:v>Có dữ liệu tuyển dụng trải trên nhiều tuần và email test/hàng đợi.</x:v>
      </x:c>
      <x:c r="L315" s="20" t="str">
        <x:v>Dữ liệu 12 tuần; 20 hồ sơ; SMTP sandbox; 3 phòng ban</x:v>
      </x:c>
      <x:c r="M315" s="20" t="str">
        <x:v>1. Chuẩn bị dữ liệu: Có dữ liệu tuyển dụng trải trên nhiều tuần và email test/hàng đợi.
2. Đăng nhập bằng tài khoản vai trò 'Trưởng phòng Nhân sự' được phép thao tác.
3. Mở chức năng 'xem báo cáo thời gian và chi phí tuyển dụng' trên môi trường staging.
4. Tạo hai REQ duyệt các ngày khác nhau có ngày nhận việc đã xác nhận
5. so sánh trung bình với phép tính tay.
6. Ghi kết quả thực tế và đối chiếu tiêu chí S8-08-AC01.</x:v>
      </x:c>
      <x:c r="N315" s="20" t="str">
        <x:v>Time-to-hire: số ngày trung bình từ khi duyệt yêu cầu tới khi ứng viên nhận việc</x:v>
      </x:c>
      <x:c r="O315" s="20" t="str"/>
      <x:c r="P315" s="20" t="str">
        <x:v>Chưa chạy</x:v>
      </x:c>
      <x:c r="Q315" s="20" t="str"/>
      <x:c r="R315" s="20" t="str"/>
      <x:c r="S315" s="26" t="str"/>
      <x:c r="T315" s="20" t="str">
        <x:v>Cân nhắc</x:v>
      </x:c>
      <x:c r="U315" s="20" t="str">
        <x:v>Nguồn: 4. Product Backlog!F95, tiêu chí 1</x:v>
      </x:c>
      <x:c r="V315" s="20" t="str">
        <x:v>S8-08</x:v>
      </x:c>
      <x:c r="W315" s="20" t="str">
        <x:v>Backlog / AC</x:v>
      </x:c>
    </x:row>
    <x:row r="316" ht="92" customHeight="1">
      <x:c r="A316" s="20" t="str">
        <x:v>TC-S8-08-02</x:v>
      </x:c>
      <x:c r="B316" s="20" t="n">
        <x:v>8</x:v>
      </x:c>
      <x:c r="C316" s="20" t="str">
        <x:v>EP-09</x:v>
      </x:c>
      <x:c r="D316" s="20" t="str">
        <x:v>S8-08</x:v>
      </x:c>
      <x:c r="E316" s="20" t="str">
        <x:v>S8-08-AC02</x:v>
      </x:c>
      <x:c r="F316" s="20" t="str">
        <x:v>Báo cáo &amp; Dashboard</x:v>
      </x:c>
      <x:c r="G316" s="20" t="str">
        <x:v>Cost-per-hire tính từ chi phí đăng tin và thưởng giới thiệu nhập tay</x:v>
      </x:c>
      <x:c r="H316" s="20" t="str">
        <x:v>Functional</x:v>
      </x:c>
      <x:c r="I316" s="20" t="str">
        <x:v>Medium</x:v>
      </x:c>
      <x:c r="J316" s="20" t="str">
        <x:v>Trưởng phòng Nhân sự</x:v>
      </x:c>
      <x:c r="K316" s="20" t="str">
        <x:v>Có dữ liệu tuyển dụng trải trên nhiều tuần và email test/hàng đợi.</x:v>
      </x:c>
      <x:c r="L316" s="20" t="str">
        <x:v>Dữ liệu 12 tuần; 20 hồ sơ; SMTP sandbox; 3 phòng ban</x:v>
      </x:c>
      <x:c r="M316" s="20" t="str">
        <x:v>1. Chuẩn bị dữ liệu: Có dữ liệu tuyển dụng trải trên nhiều tuần và email test/hàng đợi.
2. Đăng nhập bằng tài khoản vai trò 'Trưởng phòng Nhân sự' được phép thao tác.
3. Mở chức năng 'xem báo cáo thời gian và chi phí tuyển dụng' trên môi trường staging.
4. Nhập chi phí đăng tin và thưởng referral giả lập
5. tạo hai người đã nhận việc
6. tính tổng chia số hires.
7. Ghi kết quả thực tế và đối chiếu tiêu chí S8-08-AC02.</x:v>
      </x:c>
      <x:c r="N316" s="20" t="str">
        <x:v>Cost-per-hire tính từ chi phí đăng tin và thưởng giới thiệu nhập tay</x:v>
      </x:c>
      <x:c r="O316" s="20" t="str"/>
      <x:c r="P316" s="20" t="str">
        <x:v>Chưa chạy</x:v>
      </x:c>
      <x:c r="Q316" s="20" t="str"/>
      <x:c r="R316" s="20" t="str"/>
      <x:c r="S316" s="26" t="str"/>
      <x:c r="T316" s="20" t="str">
        <x:v>Cân nhắc</x:v>
      </x:c>
      <x:c r="U316" s="20" t="str">
        <x:v>Nguồn: 4. Product Backlog!F95, tiêu chí 2</x:v>
      </x:c>
      <x:c r="V316" s="20" t="str">
        <x:v>S8-08</x:v>
      </x:c>
      <x:c r="W316" s="20" t="str">
        <x:v>Backlog / AC</x:v>
      </x:c>
    </x:row>
    <x:row r="317" ht="92" customHeight="1">
      <x:c r="A317" s="20" t="str">
        <x:v>TC-S8-08-03</x:v>
      </x:c>
      <x:c r="B317" s="20" t="n">
        <x:v>8</x:v>
      </x:c>
      <x:c r="C317" s="20" t="str">
        <x:v>EP-09</x:v>
      </x:c>
      <x:c r="D317" s="20" t="str">
        <x:v>S8-08</x:v>
      </x:c>
      <x:c r="E317" s="20" t="str">
        <x:v>S8-08-AC03</x:v>
      </x:c>
      <x:c r="F317" s="20" t="str">
        <x:v>Báo cáo &amp; Dashboard</x:v>
      </x:c>
      <x:c r="G317" s="20" t="str">
        <x:v>So sánh giữa các phòng ban và giữa các chức danh</x:v>
      </x:c>
      <x:c r="H317" s="20" t="str">
        <x:v>Functional</x:v>
      </x:c>
      <x:c r="I317" s="20" t="str">
        <x:v>Medium</x:v>
      </x:c>
      <x:c r="J317" s="20" t="str">
        <x:v>Trưởng phòng Nhân sự</x:v>
      </x:c>
      <x:c r="K317" s="20" t="str">
        <x:v>Có dữ liệu tuyển dụng trải trên nhiều tuần và email test/hàng đợi.</x:v>
      </x:c>
      <x:c r="L317" s="20" t="str">
        <x:v>Dữ liệu 12 tuần; 20 hồ sơ; SMTP sandbox; 3 phòng ban</x:v>
      </x:c>
      <x:c r="M317" s="20" t="str">
        <x:v>1. Chuẩn bị dữ liệu: Có dữ liệu tuyển dụng trải trên nhiều tuần và email test/hàng đợi.
2. Đăng nhập bằng tài khoản vai trò 'Trưởng phòng Nhân sự' được phép thao tác.
3. Mở chức năng 'xem báo cáo thời gian và chi phí tuyển dụng' trên môi trường staging.
4. Seed dữ liệu cho hai phòng ban và hai chức danh
5. bật so sánh
6. đối chiếu group-by và số hires.
7. Ghi kết quả thực tế và đối chiếu tiêu chí S8-08-AC03.</x:v>
      </x:c>
      <x:c r="N317" s="20" t="str">
        <x:v>So sánh giữa các phòng ban và giữa các chức danh</x:v>
      </x:c>
      <x:c r="O317" s="20" t="str"/>
      <x:c r="P317" s="20" t="str">
        <x:v>Chưa chạy</x:v>
      </x:c>
      <x:c r="Q317" s="20" t="str"/>
      <x:c r="R317" s="20" t="str"/>
      <x:c r="S317" s="26" t="str"/>
      <x:c r="T317" s="20" t="str">
        <x:v>Cân nhắc</x:v>
      </x:c>
      <x:c r="U317" s="20" t="str">
        <x:v>Nguồn: 4. Product Backlog!F95, tiêu chí 3</x:v>
      </x:c>
      <x:c r="V317" s="20" t="str">
        <x:v>S8-08</x:v>
      </x:c>
      <x:c r="W317" s="20" t="str">
        <x:v>Backlog / AC</x:v>
      </x:c>
    </x:row>
    <x:row r="318" ht="92" customHeight="1">
      <x:c r="A318" s="20" t="str">
        <x:v>TC-S8-08-04</x:v>
      </x:c>
      <x:c r="B318" s="20" t="n">
        <x:v>8</x:v>
      </x:c>
      <x:c r="C318" s="20" t="str">
        <x:v>EP-09</x:v>
      </x:c>
      <x:c r="D318" s="20" t="str">
        <x:v>S8-08</x:v>
      </x:c>
      <x:c r="E318" s="20" t="str">
        <x:v>S8-08-AC04</x:v>
      </x:c>
      <x:c r="F318" s="20" t="str">
        <x:v>Báo cáo &amp; Dashboard</x:v>
      </x:c>
      <x:c r="G318" s="20" t="str">
        <x:v>Xuất Excel</x:v>
      </x:c>
      <x:c r="H318" s="20" t="str">
        <x:v>Functional</x:v>
      </x:c>
      <x:c r="I318" s="20" t="str">
        <x:v>Medium</x:v>
      </x:c>
      <x:c r="J318" s="20" t="str">
        <x:v>Trưởng phòng Nhân sự</x:v>
      </x:c>
      <x:c r="K318" s="20" t="str">
        <x:v>Có dữ liệu tuyển dụng trải trên nhiều tuần và email test/hàng đợi.</x:v>
      </x:c>
      <x:c r="L318" s="20" t="str">
        <x:v>Dữ liệu 12 tuần; 20 hồ sơ; SMTP sandbox; 3 phòng ban</x:v>
      </x:c>
      <x:c r="M318" s="20" t="str">
        <x:v>1. Chuẩn bị dữ liệu: Có dữ liệu tuyển dụng trải trên nhiều tuần và email test/hàng đợi.
2. Đăng nhập bằng tài khoản vai trò 'Trưởng phòng Nhân sự' được phép thao tác.
3. Mở chức năng 'xem báo cáo thời gian và chi phí tuyển dụng' trên môi trường staging.
4. Áp bộ lọc báo cáo
5. bấm Xuất Excel
6. mở tệp và đối chiếu cột/giá trị với dashboard.
7. Ghi kết quả thực tế và đối chiếu tiêu chí S8-08-AC04.</x:v>
      </x:c>
      <x:c r="N318" s="20" t="str">
        <x:v>Xuất Excel</x:v>
      </x:c>
      <x:c r="O318" s="20" t="str"/>
      <x:c r="P318" s="20" t="str">
        <x:v>Chưa chạy</x:v>
      </x:c>
      <x:c r="Q318" s="20" t="str"/>
      <x:c r="R318" s="20" t="str"/>
      <x:c r="S318" s="26" t="str"/>
      <x:c r="T318" s="20" t="str">
        <x:v>Cân nhắc</x:v>
      </x:c>
      <x:c r="U318" s="20" t="str">
        <x:v>Nguồn: 4. Product Backlog!F95, tiêu chí 4</x:v>
      </x:c>
      <x:c r="V318" s="20" t="str">
        <x:v>S8-08</x:v>
      </x:c>
      <x:c r="W318" s="20" t="str">
        <x:v>Backlog / AC</x:v>
      </x:c>
    </x:row>
    <x:row r="319" ht="92" customHeight="1">
      <x:c r="A319" s="20" t="str">
        <x:v>TC-S8-08-X01</x:v>
      </x:c>
      <x:c r="B319" s="20" t="n">
        <x:v>8</x:v>
      </x:c>
      <x:c r="C319" s="20" t="str">
        <x:v>EP-09</x:v>
      </x:c>
      <x:c r="D319" s="20" t="str">
        <x:v>S8-08</x:v>
      </x:c>
      <x:c r="E319" s="20" t="str">
        <x:v>QA-EXTRA</x:v>
      </x:c>
      <x:c r="F319" s="20" t="str">
        <x:v>Báo cáo &amp; Dashboard</x:v>
      </x:c>
      <x:c r="G319" s="20" t="str">
        <x:v>Time-to-hire tính đúng múi giờ và không tính hồ sơ chưa nhận việc</x:v>
      </x:c>
      <x:c r="H319" s="20" t="str">
        <x:v>Boundary</x:v>
      </x:c>
      <x:c r="I319" s="20" t="str">
        <x:v>Medium</x:v>
      </x:c>
      <x:c r="J319" s="20" t="str">
        <x:v>Trưởng phòng Nhân sự</x:v>
      </x:c>
      <x:c r="K319" s="20" t="str">
        <x:v>Có dữ liệu tuyển dụng trải trên nhiều tuần và email test/hàng đợi.</x:v>
      </x:c>
      <x:c r="L319" s="20" t="str">
        <x:v>REQ duyệt 01/10; người nhận việc 10/10; 1 offer chưa phản hồi</x:v>
      </x:c>
      <x:c r="M319" s="20" t="str">
        <x:v>1. Nhập bộ dữ liệu
2. Mở báo cáo ngày/chi phí
3. Đối chiếu với công thức đã thống nhất</x:v>
      </x:c>
      <x:c r="N319" s="20" t="str">
        <x:v>Chỉ hồ sơ đúng điều kiện được đưa vào mẫu số; số ngày và chi phí VND chính xác, không lệch giờ</x:v>
      </x:c>
      <x:c r="O319" s="20" t="str"/>
      <x:c r="P319" s="20" t="str">
        <x:v>Chưa chạy</x:v>
      </x:c>
      <x:c r="Q319" s="20" t="str"/>
      <x:c r="R319" s="20" t="str"/>
      <x:c r="S319" s="26" t="str"/>
      <x:c r="T319" s="20" t="str">
        <x:v>Cân nhắc</x:v>
      </x:c>
      <x:c r="U319" s="20" t="str">
        <x:v>Kịch bản rủi ro/biên; nếu vượt yêu cầu backlog, xác nhận PO.</x:v>
      </x:c>
      <x:c r="V319" s="20" t="str">
        <x:v>S8-08</x:v>
      </x:c>
      <x:c r="W319" s="20" t="str">
        <x:v>Bổ sung QA</x:v>
      </x:c>
    </x:row>
    <x:row r="320" ht="92" customHeight="1">
      <x:c r="A320" s="20" t="str">
        <x:v>TC-S8-09-01</x:v>
      </x:c>
      <x:c r="B320" s="20" t="n">
        <x:v>8</x:v>
      </x:c>
      <x:c r="C320" s="20" t="str">
        <x:v>EP-09</x:v>
      </x:c>
      <x:c r="D320" s="20" t="str">
        <x:v>S8-09</x:v>
      </x:c>
      <x:c r="E320" s="20" t="str">
        <x:v>S8-09-AC01</x:v>
      </x:c>
      <x:c r="F320" s="20" t="str">
        <x:v>Báo cáo &amp; Dashboard</x:v>
      </x:c>
      <x:c r="G320" s="20" t="str">
        <x:v>Số hồ sơ, tỷ lệ qua sàng lọc và số người nhận việc theo từng nguồn</x:v>
      </x:c>
      <x:c r="H320" s="20" t="str">
        <x:v>Functional</x:v>
      </x:c>
      <x:c r="I320" s="20" t="str">
        <x:v>Medium</x:v>
      </x:c>
      <x:c r="J320" s="20" t="str">
        <x:v>Trưởng phòng Nhân sự</x:v>
      </x:c>
      <x:c r="K320" s="20" t="str">
        <x:v>Có dữ liệu tuyển dụng trải trên nhiều tuần và email test/hàng đợi.</x:v>
      </x:c>
      <x:c r="L320" s="20" t="str">
        <x:v>Dữ liệu 12 tuần; 20 hồ sơ; SMTP sandbox; 3 phòng ban</x:v>
      </x:c>
      <x:c r="M320" s="20" t="str">
        <x:v>1. Chuẩn bị dữ liệu: Có dữ liệu tuyển dụng trải trên nhiều tuần và email test/hàng đợi.
2. Đăng nhập bằng tài khoản vai trò 'Trưởng phòng Nhân sự' được phép thao tác.
3. Mở chức năng 'xem báo cáo hiệu quả từng nguồn ứng viên' trên môi trường staging.
4. Tạo dữ liệu đối chứng thuộc và không thuộc điều kiện; áp dụng bộ lọc/tìm kiếm/sắp xếp tương ứng.
5. Đối chiếu danh sách/kết quả tổng hợp với dữ liệu gốc.</x:v>
      </x:c>
      <x:c r="N320" s="20" t="str">
        <x:v>Số hồ sơ, tỷ lệ qua sàng lọc và số người nhận việc theo từng nguồn</x:v>
      </x:c>
      <x:c r="O320" s="20" t="str"/>
      <x:c r="P320" s="20" t="str">
        <x:v>Chưa chạy</x:v>
      </x:c>
      <x:c r="Q320" s="20" t="str"/>
      <x:c r="R320" s="20" t="str"/>
      <x:c r="S320" s="26" t="str"/>
      <x:c r="T320" s="20" t="str">
        <x:v>Cân nhắc</x:v>
      </x:c>
      <x:c r="U320" s="20" t="str">
        <x:v>Nguồn: 4. Product Backlog!F96, tiêu chí 1</x:v>
      </x:c>
      <x:c r="V320" s="20" t="str">
        <x:v>S8-09</x:v>
      </x:c>
      <x:c r="W320" s="20" t="str">
        <x:v>Backlog / AC</x:v>
      </x:c>
    </x:row>
    <x:row r="321" ht="92" customHeight="1">
      <x:c r="A321" s="20" t="str">
        <x:v>TC-S8-09-02</x:v>
      </x:c>
      <x:c r="B321" s="20" t="n">
        <x:v>8</x:v>
      </x:c>
      <x:c r="C321" s="20" t="str">
        <x:v>EP-09</x:v>
      </x:c>
      <x:c r="D321" s="20" t="str">
        <x:v>S8-09</x:v>
      </x:c>
      <x:c r="E321" s="20" t="str">
        <x:v>S8-09-AC02</x:v>
      </x:c>
      <x:c r="F321" s="20" t="str">
        <x:v>Báo cáo &amp; Dashboard</x:v>
      </x:c>
      <x:c r="G321" s="20" t="str">
        <x:v>Chỉ ra nguồn nào cho ứng viên chất lượng nhất chứ không chỉ nhiều nhất</x:v>
      </x:c>
      <x:c r="H321" s="20" t="str">
        <x:v>Negative / RBAC</x:v>
      </x:c>
      <x:c r="I321" s="20" t="str">
        <x:v>Medium</x:v>
      </x:c>
      <x:c r="J321" s="20" t="str">
        <x:v>Trưởng phòng Nhân sự</x:v>
      </x:c>
      <x:c r="K321" s="20" t="str">
        <x:v>Có dữ liệu tuyển dụng trải trên nhiều tuần và email test/hàng đợi.</x:v>
      </x:c>
      <x:c r="L321" s="20" t="str">
        <x:v>Dữ liệu 12 tuần; 20 hồ sơ; SMTP sandbox; 3 phòng ban</x:v>
      </x:c>
      <x:c r="M321" s="20" t="str">
        <x:v>1. Chuẩn bị dữ liệu: Có dữ liệu tuyển dụng trải trên nhiều tuần và email test/hàng đợi.
2. Đăng nhập bằng tài khoản vai trò 'Trưởng phòng Nhân sự' được phép thao tác.
3. Mở chức năng 'xem báo cáo hiệu quả từng nguồn ứng viên' trên môi trường staging.
4. Thử thao tác hoặc truy cập ngoài phạm vi được phép; lặp lại bằng cách gọi trực tiếp API nếu liên quan phân quyền.
5. Đối chiếu kết quả, thông báo và bảo đảm dữ liệu không bị thay đổi/rò rỉ.</x:v>
      </x:c>
      <x:c r="N321" s="20" t="str">
        <x:v>Chỉ ra nguồn nào cho ứng viên chất lượng nhất chứ không chỉ nhiều nhất</x:v>
      </x:c>
      <x:c r="O321" s="20" t="str"/>
      <x:c r="P321" s="20" t="str">
        <x:v>Chưa chạy</x:v>
      </x:c>
      <x:c r="Q321" s="20" t="str"/>
      <x:c r="R321" s="20" t="str"/>
      <x:c r="S321" s="26" t="str"/>
      <x:c r="T321" s="20" t="str">
        <x:v>Cân nhắc</x:v>
      </x:c>
      <x:c r="U321" s="20" t="str">
        <x:v>Nguồn: 4. Product Backlog!F96, tiêu chí 2</x:v>
      </x:c>
      <x:c r="V321" s="20" t="str">
        <x:v>S8-09</x:v>
      </x:c>
      <x:c r="W321" s="20" t="str">
        <x:v>Backlog / AC</x:v>
      </x:c>
    </x:row>
    <x:row r="322" ht="92" customHeight="1">
      <x:c r="A322" s="20" t="str">
        <x:v>TC-S8-09-03</x:v>
      </x:c>
      <x:c r="B322" s="20" t="n">
        <x:v>8</x:v>
      </x:c>
      <x:c r="C322" s="20" t="str">
        <x:v>EP-09</x:v>
      </x:c>
      <x:c r="D322" s="20" t="str">
        <x:v>S8-09</x:v>
      </x:c>
      <x:c r="E322" s="20" t="str">
        <x:v>S8-09-AC03</x:v>
      </x:c>
      <x:c r="F322" s="20" t="str">
        <x:v>Báo cáo &amp; Dashboard</x:v>
      </x:c>
      <x:c r="G322" s="20" t="str">
        <x:v>Xuất Excel</x:v>
      </x:c>
      <x:c r="H322" s="20" t="str">
        <x:v>Functional</x:v>
      </x:c>
      <x:c r="I322" s="20" t="str">
        <x:v>Medium</x:v>
      </x:c>
      <x:c r="J322" s="20" t="str">
        <x:v>Trưởng phòng Nhân sự</x:v>
      </x:c>
      <x:c r="K322" s="20" t="str">
        <x:v>Có dữ liệu tuyển dụng trải trên nhiều tuần và email test/hàng đợi.</x:v>
      </x:c>
      <x:c r="L322" s="20" t="str">
        <x:v>Dữ liệu 12 tuần; 20 hồ sơ; SMTP sandbox; 3 phòng ban</x:v>
      </x:c>
      <x:c r="M322" s="20" t="str">
        <x:v>1. Chuẩn bị dữ liệu: Có dữ liệu tuyển dụng trải trên nhiều tuần và email test/hàng đợi.
2. Đăng nhập bằng tài khoản vai trò 'Trưởng phòng Nhân sự' được phép thao tác.
3. Mở chức năng 'xem báo cáo hiệu quả từng nguồn ứng viên' trên môi trường staging.
4. Lọc báo cáo nguồn ứng viên
5. bấm Xuất Excel
6. kiểm tra nguồn, lượng hồ sơ, tỷ lệ qua và số nhận việc.
7. Ghi kết quả thực tế và đối chiếu tiêu chí S8-09-AC03.</x:v>
      </x:c>
      <x:c r="N322" s="20" t="str">
        <x:v>Xuất Excel</x:v>
      </x:c>
      <x:c r="O322" s="20" t="str"/>
      <x:c r="P322" s="20" t="str">
        <x:v>Chưa chạy</x:v>
      </x:c>
      <x:c r="Q322" s="20" t="str"/>
      <x:c r="R322" s="20" t="str"/>
      <x:c r="S322" s="26" t="str"/>
      <x:c r="T322" s="20" t="str">
        <x:v>Cân nhắc</x:v>
      </x:c>
      <x:c r="U322" s="20" t="str">
        <x:v>Nguồn: 4. Product Backlog!F96, tiêu chí 3</x:v>
      </x:c>
      <x:c r="V322" s="20" t="str">
        <x:v>S8-09</x:v>
      </x:c>
      <x:c r="W322" s="20" t="str">
        <x:v>Backlog / AC</x:v>
      </x:c>
    </x:row>
    <x:row r="323" ht="92" customHeight="1">
      <x:c r="A323" s="20" t="str">
        <x:v>TC-S8-09-X01</x:v>
      </x:c>
      <x:c r="B323" s="20" t="n">
        <x:v>8</x:v>
      </x:c>
      <x:c r="C323" s="20" t="str">
        <x:v>EP-09</x:v>
      </x:c>
      <x:c r="D323" s="20" t="str">
        <x:v>S8-09</x:v>
      </x:c>
      <x:c r="E323" s="20" t="str">
        <x:v>QA-EXTRA</x:v>
      </x:c>
      <x:c r="F323" s="20" t="str">
        <x:v>Báo cáo &amp; Dashboard</x:v>
      </x:c>
      <x:c r="G323" s="20" t="str">
        <x:v>Báo cáo nguồn không lấy dữ liệu đã xóa theo yêu cầu ứng viên</x:v>
      </x:c>
      <x:c r="H323" s="20" t="str">
        <x:v>Security / Privacy</x:v>
      </x:c>
      <x:c r="I323" s="20" t="str">
        <x:v>Medium</x:v>
      </x:c>
      <x:c r="J323" s="20" t="str">
        <x:v>Trưởng phòng Nhân sự</x:v>
      </x:c>
      <x:c r="K323" s="20" t="str">
        <x:v>Có dữ liệu tuyển dụng trải trên nhiều tuần và email test/hàng đợi.</x:v>
      </x:c>
      <x:c r="L323" s="20" t="str">
        <x:v>Nguồn Referral có 1 hồ sơ được xóa hợp lệ</x:v>
      </x:c>
      <x:c r="M323" s="20" t="str">
        <x:v>1. Ghi nhận số liệu trước xóa
2. Xóa dữ liệu theo chính sách
3. Tải báo cáo nguồn</x:v>
      </x:c>
      <x:c r="N323" s="20" t="str">
        <x:v>Không rò PII đã xóa; thống kê xử lý theo chính sách dữ liệu ẩn danh đã được PO duyệt</x:v>
      </x:c>
      <x:c r="O323" s="20" t="str"/>
      <x:c r="P323" s="20" t="str">
        <x:v>Chưa chạy</x:v>
      </x:c>
      <x:c r="Q323" s="20" t="str"/>
      <x:c r="R323" s="20" t="str"/>
      <x:c r="S323" s="26" t="str"/>
      <x:c r="T323" s="20" t="str">
        <x:v>Cân nhắc</x:v>
      </x:c>
      <x:c r="U323" s="20" t="str">
        <x:v>Kịch bản rủi ro/biên; nếu vượt yêu cầu backlog, xác nhận PO.</x:v>
      </x:c>
      <x:c r="V323" s="20" t="str">
        <x:v>S8-09</x:v>
      </x:c>
      <x:c r="W323" s="20" t="str">
        <x:v>Bổ sung QA</x:v>
      </x:c>
    </x:row>
    <x:row r="324" ht="92" customHeight="1">
      <x:c r="A324" s="20" t="str">
        <x:v>NFR-01</x:v>
      </x:c>
      <x:c r="B324" s="20" t="str">
        <x:v>Xuyên sprint</x:v>
      </x:c>
      <x:c r="C324" s="20" t="str">
        <x:v>NFR</x:v>
      </x:c>
      <x:c r="D324" s="20" t="str"/>
      <x:c r="E324" s="20" t="str">
        <x:v>Backlog NFR</x:v>
      </x:c>
      <x:c r="F324" s="20" t="str">
        <x:v>Phi chức năng</x:v>
      </x:c>
      <x:c r="G324" s="20" t="str">
        <x:v>Hiệu năng truy vấn danh sách ứng viên 20.000 hồ sơ</x:v>
      </x:c>
      <x:c r="H324" s="20" t="str">
        <x:v>Performance</x:v>
      </x:c>
      <x:c r="I324" s="20" t="str">
        <x:v>High</x:v>
      </x:c>
      <x:c r="J324" s="20" t="str">
        <x:v>QA / DevOps</x:v>
      </x:c>
      <x:c r="K324" s="20" t="str">
        <x:v>Staging có seed dữ liệu phù hợp; sử dụng tài khoản và dữ liệu giả lập.</x:v>
      </x:c>
      <x:c r="L324" s="20" t="str">
        <x:v>DB có 20.000 hồ sơ và 200 vị trí; cache lạnh/ấm</x:v>
      </x:c>
      <x:c r="M324" s="20" t="str">
        <x:v>1. Seed 20.000 hồ sơ thuộc 200 vị trí
2. Đăng nhập Recruiter có quyền
3. Đo thời gian API danh sách với bộ lọc phổ biến 30 lần</x:v>
      </x:c>
      <x:c r="N324" s="20" t="str">
        <x:v>Thời gian phản hồi từng lần &lt; 1,5 giây theo ngưỡng backlog; ghi p50/p95 để PO chốt cách đo</x:v>
      </x:c>
      <x:c r="O324" s="20" t="str"/>
      <x:c r="P324" s="20" t="str">
        <x:v>Chưa chạy</x:v>
      </x:c>
      <x:c r="Q324" s="20" t="str"/>
      <x:c r="R324" s="20" t="str"/>
      <x:c r="S324" s="26" t="str"/>
      <x:c r="T324" s="20" t="str">
        <x:v>Cân nhắc</x:v>
      </x:c>
      <x:c r="U324" s="20" t="str">
        <x:v>Nếu tiêu chí có điều kiện hoặc chỉ số chưa chốt, xác nhận PO trước khi đánh Pass/Fail.</x:v>
      </x:c>
      <x:c r="V324" s="20" t="str">
        <x:v>S5-05</x:v>
      </x:c>
      <x:c r="W324" s="20" t="str">
        <x:v>Backlog NFR</x:v>
      </x:c>
    </x:row>
    <x:row r="325" ht="92" customHeight="1">
      <x:c r="A325" s="20" t="str">
        <x:v>NFR-02</x:v>
      </x:c>
      <x:c r="B325" s="20" t="str">
        <x:v>Xuyên sprint</x:v>
      </x:c>
      <x:c r="C325" s="20" t="str">
        <x:v>NFR</x:v>
      </x:c>
      <x:c r="D325" s="20" t="str"/>
      <x:c r="E325" s="20" t="str">
        <x:v>Backlog NFR</x:v>
      </x:c>
      <x:c r="F325" s="20" t="str">
        <x:v>Phi chức năng</x:v>
      </x:c>
      <x:c r="G325" s="20" t="str">
        <x:v>Dashboard đầy đủ tải dưới 2 giây</x:v>
      </x:c>
      <x:c r="H325" s="20" t="str">
        <x:v>Performance</x:v>
      </x:c>
      <x:c r="I325" s="20" t="str">
        <x:v>High</x:v>
      </x:c>
      <x:c r="J325" s="20" t="str">
        <x:v>QA / DevOps</x:v>
      </x:c>
      <x:c r="K325" s="20" t="str">
        <x:v>Staging có seed dữ liệu phù hợp; sử dụng tài khoản và dữ liệu giả lập.</x:v>
      </x:c>
      <x:c r="L325" s="20" t="str">
        <x:v>DB pilot có đủ hoạt động 12 tuần</x:v>
      </x:c>
      <x:c r="M325" s="20" t="str">
        <x:v>1. Mở dashboard HR với cache lạnh/ấm
2. Đo thời gian hoàn tất dữ liệu 30 lần</x:v>
      </x:c>
      <x:c r="N325" s="20" t="str">
        <x:v>Dữ liệu toàn bộ widget hoàn tất dưới 2 giây theo AC S8-05; không có request lỗi</x:v>
      </x:c>
      <x:c r="O325" s="20" t="str"/>
      <x:c r="P325" s="20" t="str">
        <x:v>Chưa chạy</x:v>
      </x:c>
      <x:c r="Q325" s="20" t="str"/>
      <x:c r="R325" s="20" t="str"/>
      <x:c r="S325" s="26" t="str"/>
      <x:c r="T325" s="20" t="str">
        <x:v>Cân nhắc</x:v>
      </x:c>
      <x:c r="U325" s="20" t="str">
        <x:v>Nếu tiêu chí có điều kiện hoặc chỉ số chưa chốt, xác nhận PO trước khi đánh Pass/Fail.</x:v>
      </x:c>
      <x:c r="V325" s="20" t="str">
        <x:v>S8-05</x:v>
      </x:c>
      <x:c r="W325" s="20" t="str">
        <x:v>Backlog NFR</x:v>
      </x:c>
    </x:row>
    <x:row r="326" ht="92" customHeight="1">
      <x:c r="A326" s="20" t="str">
        <x:v>NFR-03</x:v>
      </x:c>
      <x:c r="B326" s="20" t="str">
        <x:v>Xuyên sprint</x:v>
      </x:c>
      <x:c r="C326" s="20" t="str">
        <x:v>NFR</x:v>
      </x:c>
      <x:c r="D326" s="20" t="str"/>
      <x:c r="E326" s="20" t="str">
        <x:v>Backlog NFR</x:v>
      </x:c>
      <x:c r="F326" s="20" t="str">
        <x:v>Phi chức năng</x:v>
      </x:c>
      <x:c r="G326" s="20" t="str">
        <x:v>Chịu tải 400 tài khoản nội bộ</x:v>
      </x:c>
      <x:c r="H326" s="20" t="str">
        <x:v>Load</x:v>
      </x:c>
      <x:c r="I326" s="20" t="str">
        <x:v>High</x:v>
      </x:c>
      <x:c r="J326" s="20" t="str">
        <x:v>QA / DevOps</x:v>
      </x:c>
      <x:c r="K326" s="20" t="str">
        <x:v>Staging có seed dữ liệu phù hợp; sử dụng tài khoản và dữ liệu giả lập.</x:v>
      </x:c>
      <x:c r="L326" s="20" t="str">
        <x:v>400 tài khoản test, kịch bản đọc danh sách và sửa hồ sơ</x:v>
      </x:c>
      <x:c r="M326" s="20" t="str">
        <x:v>1. Dùng công cụ tải tạo 400 virtual users
2. Truy cập luồng đọc/ghi trong 15 phút
3. Thu thập response/error/resource</x:v>
      </x:c>
      <x:c r="N326" s="20" t="str">
        <x:v>Hệ thống phục vụ được 400 tài khoản; ngưỡng p95 và error rate cần PO xác nhận</x:v>
      </x:c>
      <x:c r="O326" s="20" t="str"/>
      <x:c r="P326" s="20" t="str">
        <x:v>Chưa chạy</x:v>
      </x:c>
      <x:c r="Q326" s="20" t="str"/>
      <x:c r="R326" s="20" t="str"/>
      <x:c r="S326" s="26" t="str"/>
      <x:c r="T326" s="20" t="str">
        <x:v>Cân nhắc</x:v>
      </x:c>
      <x:c r="U326" s="20" t="str">
        <x:v>Nếu tiêu chí có điều kiện hoặc chỉ số chưa chốt, xác nhận PO trước khi đánh Pass/Fail.</x:v>
      </x:c>
      <x:c r="V326" s="20" t="str"/>
      <x:c r="W326" s="20" t="str">
        <x:v>Backlog NFR</x:v>
      </x:c>
    </x:row>
    <x:row r="327" ht="92" customHeight="1">
      <x:c r="A327" s="20" t="str">
        <x:v>NFR-04</x:v>
      </x:c>
      <x:c r="B327" s="20" t="str">
        <x:v>Xuyên sprint</x:v>
      </x:c>
      <x:c r="C327" s="20" t="str">
        <x:v>NFR</x:v>
      </x:c>
      <x:c r="D327" s="20" t="str"/>
      <x:c r="E327" s="20" t="str">
        <x:v>Backlog NFR</x:v>
      </x:c>
      <x:c r="F327" s="20" t="str">
        <x:v>Phi chức năng</x:v>
      </x:c>
      <x:c r="G327" s="20" t="str">
        <x:v>Tiếp nhận 100 lượt nộp mỗi giờ</x:v>
      </x:c>
      <x:c r="H327" s="20" t="str">
        <x:v>Load</x:v>
      </x:c>
      <x:c r="I327" s="20" t="str">
        <x:v>High</x:v>
      </x:c>
      <x:c r="J327" s="20" t="str">
        <x:v>QA / DevOps</x:v>
      </x:c>
      <x:c r="K327" s="20" t="str">
        <x:v>Staging có seed dữ liệu phù hợp; sử dụng tài khoản và dữ liệu giả lập.</x:v>
      </x:c>
      <x:c r="L327" s="20" t="str">
        <x:v>100 hồ sơ + PDF test mỗi giờ; SMTP sandbox</x:v>
      </x:c>
      <x:c r="M327" s="20" t="str">
        <x:v>1. Mô phỏng 100 lượt apply phân bố trong 60 phút
2. Kiểm tra số hồ sơ, số mã tra cứu và mail queue</x:v>
      </x:c>
      <x:c r="N327" s="20" t="str">
        <x:v>Không mất hồ sơ hợp lệ; tránh tạo trùng; hệ thống xử lý được 100 lượt/giờ</x:v>
      </x:c>
      <x:c r="O327" s="20" t="str"/>
      <x:c r="P327" s="20" t="str">
        <x:v>Chưa chạy</x:v>
      </x:c>
      <x:c r="Q327" s="20" t="str"/>
      <x:c r="R327" s="20" t="str"/>
      <x:c r="S327" s="26" t="str"/>
      <x:c r="T327" s="20" t="str">
        <x:v>Cân nhắc</x:v>
      </x:c>
      <x:c r="U327" s="20" t="str">
        <x:v>Nếu tiêu chí có điều kiện hoặc chỉ số chưa chốt, xác nhận PO trước khi đánh Pass/Fail.</x:v>
      </x:c>
      <x:c r="V327" s="20" t="str">
        <x:v>S4-03</x:v>
      </x:c>
      <x:c r="W327" s="20" t="str">
        <x:v>Backlog NFR</x:v>
      </x:c>
    </x:row>
    <x:row r="328" ht="92" customHeight="1">
      <x:c r="A328" s="20" t="str">
        <x:v>NFR-05</x:v>
      </x:c>
      <x:c r="B328" s="20" t="str">
        <x:v>Xuyên sprint</x:v>
      </x:c>
      <x:c r="C328" s="20" t="str">
        <x:v>NFR</x:v>
      </x:c>
      <x:c r="D328" s="20" t="str"/>
      <x:c r="E328" s="20" t="str">
        <x:v>Backlog NFR</x:v>
      </x:c>
      <x:c r="F328" s="20" t="str">
        <x:v>Phi chức năng</x:v>
      </x:c>
      <x:c r="G328" s="20" t="str">
        <x:v>Nộp CV hoàn chỉnh tại màn hình rộng 360px</x:v>
      </x:c>
      <x:c r="H328" s="20" t="str">
        <x:v>Responsive</x:v>
      </x:c>
      <x:c r="I328" s="20" t="str">
        <x:v>High</x:v>
      </x:c>
      <x:c r="J328" s="20" t="str">
        <x:v>QA / DevOps</x:v>
      </x:c>
      <x:c r="K328" s="20" t="str">
        <x:v>Staging có seed dữ liệu phù hợp; sử dụng tài khoản và dữ liệu giả lập.</x:v>
      </x:c>
      <x:c r="L328" s="20" t="str">
        <x:v>Viewport 360x800, Android Chrome và iPhone Safari</x:v>
      </x:c>
      <x:c r="M328" s="20" t="str">
        <x:v>1. Xem tin
2. Điền form
3. Tải PDF
4. Nhận mã
5. Tra cứu trạng thái</x:v>
      </x:c>
      <x:c r="N328" s="20" t="str">
        <x:v>Không tràn ngang/ẩn CTA, biểu mẫu thao tác được trên viewport 360px</x:v>
      </x:c>
      <x:c r="O328" s="20" t="str"/>
      <x:c r="P328" s="20" t="str">
        <x:v>Chưa chạy</x:v>
      </x:c>
      <x:c r="Q328" s="20" t="str"/>
      <x:c r="R328" s="20" t="str"/>
      <x:c r="S328" s="26" t="str"/>
      <x:c r="T328" s="20" t="str">
        <x:v>Cân nhắc</x:v>
      </x:c>
      <x:c r="U328" s="20" t="str">
        <x:v>Nếu tiêu chí có điều kiện hoặc chỉ số chưa chốt, xác nhận PO trước khi đánh Pass/Fail.</x:v>
      </x:c>
      <x:c r="V328" s="20" t="str">
        <x:v>S4-01,S4-02,S4-03,S4-05</x:v>
      </x:c>
      <x:c r="W328" s="20" t="str">
        <x:v>Backlog NFR</x:v>
      </x:c>
    </x:row>
    <x:row r="329" ht="92" customHeight="1">
      <x:c r="A329" s="20" t="str">
        <x:v>NFR-06</x:v>
      </x:c>
      <x:c r="B329" s="20" t="str">
        <x:v>Xuyên sprint</x:v>
      </x:c>
      <x:c r="C329" s="20" t="str">
        <x:v>NFR</x:v>
      </x:c>
      <x:c r="D329" s="20" t="str"/>
      <x:c r="E329" s="20" t="str">
        <x:v>Backlog NFR</x:v>
      </x:c>
      <x:c r="F329" s="20" t="str">
        <x:v>Phi chức năng</x:v>
      </x:c>
      <x:c r="G329" s="20" t="str">
        <x:v>Toàn bộ giao diện nghiệp vụ và lỗi bằng tiếng Việt</x:v>
      </x:c>
      <x:c r="H329" s="20" t="str">
        <x:v>Localization</x:v>
      </x:c>
      <x:c r="I329" s="20" t="str">
        <x:v>Medium</x:v>
      </x:c>
      <x:c r="J329" s="20" t="str">
        <x:v>QA / DevOps</x:v>
      </x:c>
      <x:c r="K329" s="20" t="str">
        <x:v>Staging có seed dữ liệu phù hợp; sử dụng tài khoản và dữ liệu giả lập.</x:v>
      </x:c>
      <x:c r="L329" s="20" t="str">
        <x:v>7 vai trò, trạng thái success/empty/error</x:v>
      </x:c>
      <x:c r="M329" s="20" t="str">
        <x:v>1. Đi qua menu từng role
2. Gây lỗi xác thực
3. Đọc email mẫu/thông báo</x:v>
      </x:c>
      <x:c r="N329" s="20" t="str">
        <x:v>Không còn text fallback tiếng Anh gây khó hiểu; thuật ngữ trạng thái thống nhất</x:v>
      </x:c>
      <x:c r="O329" s="20" t="str"/>
      <x:c r="P329" s="20" t="str">
        <x:v>Chưa chạy</x:v>
      </x:c>
      <x:c r="Q329" s="20" t="str"/>
      <x:c r="R329" s="20" t="str"/>
      <x:c r="S329" s="26" t="str"/>
      <x:c r="T329" s="20" t="str">
        <x:v>Cân nhắc</x:v>
      </x:c>
      <x:c r="U329" s="20" t="str">
        <x:v>Nếu tiêu chí có điều kiện hoặc chỉ số chưa chốt, xác nhận PO trước khi đánh Pass/Fail.</x:v>
      </x:c>
      <x:c r="V329" s="20" t="str"/>
      <x:c r="W329" s="20" t="str">
        <x:v>Backlog NFR</x:v>
      </x:c>
    </x:row>
    <x:row r="330" ht="92" customHeight="1">
      <x:c r="A330" s="20" t="str">
        <x:v>NFR-07</x:v>
      </x:c>
      <x:c r="B330" s="20" t="str">
        <x:v>Xuyên sprint</x:v>
      </x:c>
      <x:c r="C330" s="20" t="str">
        <x:v>NFR</x:v>
      </x:c>
      <x:c r="D330" s="20" t="str"/>
      <x:c r="E330" s="20" t="str">
        <x:v>Backlog NFR</x:v>
      </x:c>
      <x:c r="F330" s="20" t="str">
        <x:v>Phi chức năng</x:v>
      </x:c>
      <x:c r="G330" s="20" t="str">
        <x:v>Múi giờ và DST/UTC của ngày phỏng vấn</x:v>
      </x:c>
      <x:c r="H330" s="20" t="str">
        <x:v>Localization</x:v>
      </x:c>
      <x:c r="I330" s="20" t="str">
        <x:v>High</x:v>
      </x:c>
      <x:c r="J330" s="20" t="str">
        <x:v>QA / DevOps</x:v>
      </x:c>
      <x:c r="K330" s="20" t="str">
        <x:v>Staging có seed dữ liệu phù hợp; sử dụng tài khoản và dữ liệu giả lập.</x:v>
      </x:c>
      <x:c r="L330" s="20" t="str">
        <x:v>UTC timestamp; Asia/Ho_Chi_Minh +07</x:v>
      </x:c>
      <x:c r="M330" s="20" t="str">
        <x:v>1. Tạo lịch 09:00 ICT
2. Đọc API/DB/email
3. Đăng nhập ở browser timezone UTC</x:v>
      </x:c>
      <x:c r="N330" s="20" t="str">
        <x:v>Giao diện/email nghiệp vụ hiển thị 09:00 ICT; DB lưu timestamp thống nhất, không lệch ngày</x:v>
      </x:c>
      <x:c r="O330" s="20" t="str"/>
      <x:c r="P330" s="20" t="str">
        <x:v>Chưa chạy</x:v>
      </x:c>
      <x:c r="Q330" s="20" t="str"/>
      <x:c r="R330" s="20" t="str"/>
      <x:c r="S330" s="26" t="str"/>
      <x:c r="T330" s="20" t="str">
        <x:v>Cân nhắc</x:v>
      </x:c>
      <x:c r="U330" s="20" t="str">
        <x:v>Nếu tiêu chí có điều kiện hoặc chỉ số chưa chốt, xác nhận PO trước khi đánh Pass/Fail.</x:v>
      </x:c>
      <x:c r="V330" s="20" t="str">
        <x:v>S6-02</x:v>
      </x:c>
      <x:c r="W330" s="20" t="str">
        <x:v>Backlog NFR</x:v>
      </x:c>
    </x:row>
    <x:row r="331" ht="92" customHeight="1">
      <x:c r="A331" s="20" t="str">
        <x:v>NFR-08</x:v>
      </x:c>
      <x:c r="B331" s="20" t="str">
        <x:v>Xuyên sprint</x:v>
      </x:c>
      <x:c r="C331" s="20" t="str">
        <x:v>NFR</x:v>
      </x:c>
      <x:c r="D331" s="20" t="str"/>
      <x:c r="E331" s="20" t="str">
        <x:v>Backlog NFR</x:v>
      </x:c>
      <x:c r="F331" s="20" t="str">
        <x:v>Phi chức năng</x:v>
      </x:c>
      <x:c r="G331" s="20" t="str">
        <x:v>Lương VND và định dạng số chính xác</x:v>
      </x:c>
      <x:c r="H331" s="20" t="str">
        <x:v>Localization</x:v>
      </x:c>
      <x:c r="I331" s="20" t="str">
        <x:v>High</x:v>
      </x:c>
      <x:c r="J331" s="20" t="str">
        <x:v>QA / DevOps</x:v>
      </x:c>
      <x:c r="K331" s="20" t="str">
        <x:v>Staging có seed dữ liệu phù hợp; sử dụng tài khoản và dữ liệu giả lập.</x:v>
      </x:c>
      <x:c r="L331" s="20" t="str">
        <x:v>15.000.000, 25.000.000 VND</x:v>
      </x:c>
      <x:c r="M331" s="20" t="str">
        <x:v>1. Tạo dải lương và offer
2. Mở preview/mail/báo cáo
3. Đối soát số đã lưu</x:v>
      </x:c>
      <x:c r="N331" s="20" t="str">
        <x:v>Hiển thị VND không mất chữ số, không làm tròn sai vượt hạn mức</x:v>
      </x:c>
      <x:c r="O331" s="20" t="str"/>
      <x:c r="P331" s="20" t="str">
        <x:v>Chưa chạy</x:v>
      </x:c>
      <x:c r="Q331" s="20" t="str"/>
      <x:c r="R331" s="20" t="str"/>
      <x:c r="S331" s="26" t="str"/>
      <x:c r="T331" s="20" t="str">
        <x:v>Cân nhắc</x:v>
      </x:c>
      <x:c r="U331" s="20" t="str">
        <x:v>Nếu tiêu chí có điều kiện hoặc chỉ số chưa chốt, xác nhận PO trước khi đánh Pass/Fail.</x:v>
      </x:c>
      <x:c r="V331" s="20" t="str">
        <x:v>S2-05,S7-04,S8-08</x:v>
      </x:c>
      <x:c r="W331" s="20" t="str">
        <x:v>Backlog NFR</x:v>
      </x:c>
    </x:row>
    <x:row r="332" ht="92" customHeight="1">
      <x:c r="A332" s="20" t="str">
        <x:v>NFR-09</x:v>
      </x:c>
      <x:c r="B332" s="20" t="str">
        <x:v>Xuyên sprint</x:v>
      </x:c>
      <x:c r="C332" s="20" t="str">
        <x:v>NFR</x:v>
      </x:c>
      <x:c r="D332" s="20" t="str"/>
      <x:c r="E332" s="20" t="str">
        <x:v>Backlog NFR</x:v>
      </x:c>
      <x:c r="F332" s="20" t="str">
        <x:v>Phi chức năng</x:v>
      </x:c>
      <x:c r="G332" s="20" t="str">
        <x:v>Sao lưu CSDL và tệp CV hằng ngày</x:v>
      </x:c>
      <x:c r="H332" s="20" t="str">
        <x:v>Backup</x:v>
      </x:c>
      <x:c r="I332" s="20" t="str">
        <x:v>High</x:v>
      </x:c>
      <x:c r="J332" s="20" t="str">
        <x:v>QA / DevOps</x:v>
      </x:c>
      <x:c r="K332" s="20" t="str">
        <x:v>Staging có seed dữ liệu phù hợp; sử dụng tài khoản và dữ liệu giả lập.</x:v>
      </x:c>
      <x:c r="L332" s="20" t="str">
        <x:v>Staging với cron backup và storage test</x:v>
      </x:c>
      <x:c r="M332" s="20" t="str">
        <x:v>1. Kích hoạt tác vụ sao lưu
2. Kiểm tra DB dump + tệp CV
3. Xem 8 lần chạy liên tiếp</x:v>
      </x:c>
      <x:c r="N332" s="20" t="str">
        <x:v>Có backup hằng ngày và giữ đúng 7 bản gần nhất theo backlog</x:v>
      </x:c>
      <x:c r="O332" s="20" t="str"/>
      <x:c r="P332" s="20" t="str">
        <x:v>Chưa chạy</x:v>
      </x:c>
      <x:c r="Q332" s="20" t="str"/>
      <x:c r="R332" s="20" t="str"/>
      <x:c r="S332" s="26" t="str"/>
      <x:c r="T332" s="20" t="str">
        <x:v>Cân nhắc</x:v>
      </x:c>
      <x:c r="U332" s="20" t="str">
        <x:v>Nếu tiêu chí có điều kiện hoặc chỉ số chưa chốt, xác nhận PO trước khi đánh Pass/Fail.</x:v>
      </x:c>
      <x:c r="V332" s="20" t="str"/>
      <x:c r="W332" s="20" t="str">
        <x:v>Backlog NFR</x:v>
      </x:c>
    </x:row>
    <x:row r="333" ht="92" customHeight="1">
      <x:c r="A333" s="20" t="str">
        <x:v>NFR-10</x:v>
      </x:c>
      <x:c r="B333" s="20" t="str">
        <x:v>Xuyên sprint</x:v>
      </x:c>
      <x:c r="C333" s="20" t="str">
        <x:v>NFR</x:v>
      </x:c>
      <x:c r="D333" s="20" t="str"/>
      <x:c r="E333" s="20" t="str">
        <x:v>Đề xuất QA</x:v>
      </x:c>
      <x:c r="F333" s="20" t="str">
        <x:v>Phi chức năng</x:v>
      </x:c>
      <x:c r="G333" s="20" t="str">
        <x:v>Khôi phục đồng bộ DB và tệp CV từ backup</x:v>
      </x:c>
      <x:c r="H333" s="20" t="str">
        <x:v>Recovery</x:v>
      </x:c>
      <x:c r="I333" s="20" t="str">
        <x:v>High</x:v>
      </x:c>
      <x:c r="J333" s="20" t="str">
        <x:v>QA / DevOps</x:v>
      </x:c>
      <x:c r="K333" s="20" t="str">
        <x:v>Staging có seed dữ liệu phù hợp; sử dụng tài khoản và dữ liệu giả lập.</x:v>
      </x:c>
      <x:c r="L333" s="20" t="str">
        <x:v>1 bản backup test đủ DB + 3 CV</x:v>
      </x:c>
      <x:c r="M333" s="20" t="str">
        <x:v>1. Tạo bản sao lưu
2. Phá dữ liệu staging tách biệt
3. Restore
4. So sánh checksum và khóa liên kết</x:v>
      </x:c>
      <x:c r="N333" s="20" t="str">
        <x:v>Khôi phục được toàn bộ hồ sơ và tệp tương ứng; RPO/RTO cần PO chốt</x:v>
      </x:c>
      <x:c r="O333" s="20" t="str"/>
      <x:c r="P333" s="20" t="str">
        <x:v>Chưa chạy</x:v>
      </x:c>
      <x:c r="Q333" s="20" t="str"/>
      <x:c r="R333" s="20" t="str"/>
      <x:c r="S333" s="26" t="str"/>
      <x:c r="T333" s="20" t="str">
        <x:v>Cân nhắc</x:v>
      </x:c>
      <x:c r="U333" s="20" t="str">
        <x:v>Nếu tiêu chí có điều kiện hoặc chỉ số chưa chốt, xác nhận PO trước khi đánh Pass/Fail.</x:v>
      </x:c>
      <x:c r="V333" s="20" t="str"/>
      <x:c r="W333" s="20" t="str">
        <x:v>Đề xuất QA</x:v>
      </x:c>
    </x:row>
    <x:row r="334" ht="92" customHeight="1">
      <x:c r="A334" s="20" t="str">
        <x:v>NFR-11</x:v>
      </x:c>
      <x:c r="B334" s="20" t="str">
        <x:v>Xuyên sprint</x:v>
      </x:c>
      <x:c r="C334" s="20" t="str">
        <x:v>NFR</x:v>
      </x:c>
      <x:c r="D334" s="20" t="str"/>
      <x:c r="E334" s="20" t="str">
        <x:v>Backlog NFR</x:v>
      </x:c>
      <x:c r="F334" s="20" t="str">
        <x:v>Phi chức năng</x:v>
      </x:c>
      <x:c r="G334" s="20" t="str">
        <x:v>Mật khẩu trong DB không lưu plaintext</x:v>
      </x:c>
      <x:c r="H334" s="20" t="str">
        <x:v>Security</x:v>
      </x:c>
      <x:c r="I334" s="20" t="str">
        <x:v>Critical</x:v>
      </x:c>
      <x:c r="J334" s="20" t="str">
        <x:v>QA / DevOps</x:v>
      </x:c>
      <x:c r="K334" s="20" t="str">
        <x:v>Staging có seed dữ liệu phù hợp; sử dụng tài khoản và dữ liệu giả lập.</x:v>
      </x:c>
      <x:c r="L334" s="20" t="str">
        <x:v>Tài khoản test có mật khẩu định trước</x:v>
      </x:c>
      <x:c r="M334" s="20" t="str">
        <x:v>1. Tạo user
2. Đọc record mật khẩu bằng quyền DB kiểm thử
3. Thử so sánh hash với bcrypt</x:v>
      </x:c>
      <x:c r="N334" s="20" t="str">
        <x:v>Chỉ lưu hash bcrypt hợp lệ, không có plaintext trong DB/log/response</x:v>
      </x:c>
      <x:c r="O334" s="20" t="str"/>
      <x:c r="P334" s="20" t="str">
        <x:v>Chưa chạy</x:v>
      </x:c>
      <x:c r="Q334" s="20" t="str"/>
      <x:c r="R334" s="20" t="str"/>
      <x:c r="S334" s="26" t="str"/>
      <x:c r="T334" s="20" t="str">
        <x:v>Cân nhắc</x:v>
      </x:c>
      <x:c r="U334" s="20" t="str">
        <x:v>Nếu tiêu chí có điều kiện hoặc chỉ số chưa chốt, xác nhận PO trước khi đánh Pass/Fail.</x:v>
      </x:c>
      <x:c r="V334" s="20" t="str">
        <x:v>S1-01</x:v>
      </x:c>
      <x:c r="W334" s="20" t="str">
        <x:v>Backlog NFR</x:v>
      </x:c>
    </x:row>
    <x:row r="335" ht="92" customHeight="1">
      <x:c r="A335" s="20" t="str">
        <x:v>NFR-12</x:v>
      </x:c>
      <x:c r="B335" s="20" t="str">
        <x:v>Xuyên sprint</x:v>
      </x:c>
      <x:c r="C335" s="20" t="str">
        <x:v>NFR</x:v>
      </x:c>
      <x:c r="D335" s="20" t="str"/>
      <x:c r="E335" s="20" t="str">
        <x:v>Backlog NFR</x:v>
      </x:c>
      <x:c r="F335" s="20" t="str">
        <x:v>Phi chức năng</x:v>
      </x:c>
      <x:c r="G335" s="20" t="str">
        <x:v>Giới hạn spam endpoint apply</x:v>
      </x:c>
      <x:c r="H335" s="20" t="str">
        <x:v>Security</x:v>
      </x:c>
      <x:c r="I335" s="20" t="str">
        <x:v>High</x:v>
      </x:c>
      <x:c r="J335" s="20" t="str">
        <x:v>QA / DevOps</x:v>
      </x:c>
      <x:c r="K335" s="20" t="str">
        <x:v>Staging có seed dữ liệu phù hợp; sử dụng tài khoản và dữ liệu giả lập.</x:v>
      </x:c>
      <x:c r="L335" s="20" t="str">
        <x:v>Một IP hoặc định danh test nộp liên tục</x:v>
      </x:c>
      <x:c r="M335" s="20" t="str">
        <x:v>1. Nộp liên tiếp tới khi vượt ngưỡng cấu hình
2. Quan sát HTTP status
3. Chờ reset window</x:v>
      </x:c>
      <x:c r="N335" s="20" t="str">
        <x:v>Endpoint từ chối vượt ngưỡng và không lưu bản ghi; giới hạn cụ thể cần PO chốt</x:v>
      </x:c>
      <x:c r="O335" s="20" t="str"/>
      <x:c r="P335" s="20" t="str">
        <x:v>Chưa chạy</x:v>
      </x:c>
      <x:c r="Q335" s="20" t="str"/>
      <x:c r="R335" s="20" t="str"/>
      <x:c r="S335" s="26" t="str"/>
      <x:c r="T335" s="20" t="str">
        <x:v>Cân nhắc</x:v>
      </x:c>
      <x:c r="U335" s="20" t="str">
        <x:v>Nếu tiêu chí có điều kiện hoặc chỉ số chưa chốt, xác nhận PO trước khi đánh Pass/Fail.</x:v>
      </x:c>
      <x:c r="V335" s="20" t="str">
        <x:v>S4-03</x:v>
      </x:c>
      <x:c r="W335" s="20" t="str">
        <x:v>Backlog NFR</x:v>
      </x:c>
    </x:row>
    <x:row r="336" ht="92" customHeight="1">
      <x:c r="A336" s="20" t="str">
        <x:v>NFR-13</x:v>
      </x:c>
      <x:c r="B336" s="20" t="str">
        <x:v>Xuyên sprint</x:v>
      </x:c>
      <x:c r="C336" s="20" t="str">
        <x:v>NFR</x:v>
      </x:c>
      <x:c r="D336" s="20" t="str"/>
      <x:c r="E336" s="20" t="str">
        <x:v>Backlog NFR</x:v>
      </x:c>
      <x:c r="F336" s="20" t="str">
        <x:v>Phi chức năng</x:v>
      </x:c>
      <x:c r="G336" s="20" t="str">
        <x:v>Audit khi truy cập dữ liệu ứng viên</x:v>
      </x:c>
      <x:c r="H336" s="20" t="str">
        <x:v>Security / Privacy</x:v>
      </x:c>
      <x:c r="I336" s="20" t="str">
        <x:v>Critical</x:v>
      </x:c>
      <x:c r="J336" s="20" t="str">
        <x:v>QA / DevOps</x:v>
      </x:c>
      <x:c r="K336" s="20" t="str">
        <x:v>Staging có seed dữ liệu phù hợp; sử dụng tài khoản và dữ liệu giả lập.</x:v>
      </x:c>
      <x:c r="L336" s="20" t="str">
        <x:v>Recruiter A và B; hồ sơ chỉ cấp cho A</x:v>
      </x:c>
      <x:c r="M336" s="20" t="str">
        <x:v>1. A đọc hồ sơ
2. B gọi API trái quyền
3. HR tra nhật ký truy cập</x:v>
      </x:c>
      <x:c r="N336" s="20" t="str">
        <x:v>Có dấu vết actor/thời điểm/object/hành động theo chính sách; B không thấy dữ liệu</x:v>
      </x:c>
      <x:c r="O336" s="20" t="str"/>
      <x:c r="P336" s="20" t="str">
        <x:v>Chưa chạy</x:v>
      </x:c>
      <x:c r="Q336" s="20" t="str"/>
      <x:c r="R336" s="20" t="str"/>
      <x:c r="S336" s="26" t="str"/>
      <x:c r="T336" s="20" t="str">
        <x:v>Cân nhắc</x:v>
      </x:c>
      <x:c r="U336" s="20" t="str">
        <x:v>Nếu tiêu chí có điều kiện hoặc chỉ số chưa chốt, xác nhận PO trước khi đánh Pass/Fail.</x:v>
      </x:c>
      <x:c r="V336" s="20" t="str">
        <x:v>S4-09</x:v>
      </x:c>
      <x:c r="W336" s="20" t="str">
        <x:v>Backlog NFR</x:v>
      </x:c>
    </x:row>
    <x:row r="337" ht="92" customHeight="1">
      <x:c r="A337" s="20" t="str">
        <x:v>NFR-14</x:v>
      </x:c>
      <x:c r="B337" s="20" t="str">
        <x:v>Xuyên sprint</x:v>
      </x:c>
      <x:c r="C337" s="20" t="str">
        <x:v>NFR</x:v>
      </x:c>
      <x:c r="D337" s="20" t="str"/>
      <x:c r="E337" s="20" t="str">
        <x:v>Backlog NFR</x:v>
      </x:c>
      <x:c r="F337" s="20" t="str">
        <x:v>Phi chức năng</x:v>
      </x:c>
      <x:c r="G337" s="20" t="str">
        <x:v>Thực hiện yêu cầu xóa hồ sơ cá nhân</x:v>
      </x:c>
      <x:c r="H337" s="20" t="str">
        <x:v>Privacy</x:v>
      </x:c>
      <x:c r="I337" s="20" t="str">
        <x:v>Critical</x:v>
      </x:c>
      <x:c r="J337" s="20" t="str">
        <x:v>QA / DevOps</x:v>
      </x:c>
      <x:c r="K337" s="20" t="str">
        <x:v>Staging có seed dữ liệu phù hợp; sử dụng tài khoản và dữ liệu giả lập.</x:v>
      </x:c>
      <x:c r="L337" s="20" t="str">
        <x:v>Ứng viên tạo hồ sơ thử và gửi yêu cầu xóa</x:v>
      </x:c>
      <x:c r="M337" s="20" t="str">
        <x:v>1. Xác minh quyền yêu cầu
2. Thực hiện xóa/ẩn danh theo chính sách
3. Kiểm tra search, file store, exports</x:v>
      </x:c>
      <x:c r="N337" s="20" t="str">
        <x:v>Không còn khả năng truy cập dữ liệu trái chính sách; quy trình/lưu audit theo retention phải được PO duyệt</x:v>
      </x:c>
      <x:c r="O337" s="20" t="str"/>
      <x:c r="P337" s="20" t="str">
        <x:v>Chưa chạy</x:v>
      </x:c>
      <x:c r="Q337" s="20" t="str"/>
      <x:c r="R337" s="20" t="str"/>
      <x:c r="S337" s="26" t="str"/>
      <x:c r="T337" s="20" t="str">
        <x:v>Cân nhắc</x:v>
      </x:c>
      <x:c r="U337" s="20" t="str">
        <x:v>Nếu tiêu chí có điều kiện hoặc chỉ số chưa chốt, xác nhận PO trước khi đánh Pass/Fail.</x:v>
      </x:c>
      <x:c r="V337" s="20" t="str">
        <x:v>S4-09</x:v>
      </x:c>
      <x:c r="W337" s="20" t="str">
        <x:v>Backlog NFR</x:v>
      </x:c>
    </x:row>
    <x:row r="338" ht="92" customHeight="1">
      <x:c r="A338" s="20" t="str">
        <x:v>NFR-15</x:v>
      </x:c>
      <x:c r="B338" s="20" t="str">
        <x:v>Xuyên sprint</x:v>
      </x:c>
      <x:c r="C338" s="20" t="str">
        <x:v>NFR</x:v>
      </x:c>
      <x:c r="D338" s="20" t="str"/>
      <x:c r="E338" s="20" t="str">
        <x:v>Backlog NFR</x:v>
      </x:c>
      <x:c r="F338" s="20" t="str">
        <x:v>Phi chức năng</x:v>
      </x:c>
      <x:c r="G338" s="20" t="str">
        <x:v>Phân quyền bắt buộc tại server cho mọi endpoint</x:v>
      </x:c>
      <x:c r="H338" s="20" t="str">
        <x:v>Security / RBAC</x:v>
      </x:c>
      <x:c r="I338" s="20" t="str">
        <x:v>Critical</x:v>
      </x:c>
      <x:c r="J338" s="20" t="str">
        <x:v>QA / DevOps</x:v>
      </x:c>
      <x:c r="K338" s="20" t="str">
        <x:v>Staging có seed dữ liệu phù hợp; sử dụng tài khoản và dữ liệu giả lập.</x:v>
      </x:c>
      <x:c r="L338" s="20" t="str">
        <x:v>Ma trận tài khoản Candidate, Recruiter, HM, Interviewer, HR, Approver, Admin</x:v>
      </x:c>
      <x:c r="M338" s="20" t="str">
        <x:v>1. Liệt kê endpoint
2. Thử unauthenticated và sai role/owner
3. Đối soát response</x:v>
      </x:c>
      <x:c r="N338" s="20" t="str">
        <x:v>Mặc định deny, endpoint không lộ hồ sơ ngoài phạm vi; mọi endpoint nhạy cảm được gắn test tự động</x:v>
      </x:c>
      <x:c r="O338" s="20" t="str"/>
      <x:c r="P338" s="20" t="str">
        <x:v>Chưa chạy</x:v>
      </x:c>
      <x:c r="Q338" s="20" t="str"/>
      <x:c r="R338" s="20" t="str"/>
      <x:c r="S338" s="26" t="str"/>
      <x:c r="T338" s="20" t="str">
        <x:v>Cân nhắc</x:v>
      </x:c>
      <x:c r="U338" s="20" t="str">
        <x:v>Nếu tiêu chí có điều kiện hoặc chỉ số chưa chốt, xác nhận PO trước khi đánh Pass/Fail.</x:v>
      </x:c>
      <x:c r="V338" s="20" t="str">
        <x:v>S1-05</x:v>
      </x:c>
      <x:c r="W338" s="20" t="str">
        <x:v>Backlog NFR</x:v>
      </x:c>
    </x:row>
    <x:row r="339" ht="92" customHeight="1">
      <x:c r="A339" s="20" t="str">
        <x:v>NFR-16</x:v>
      </x:c>
      <x:c r="B339" s="20" t="str">
        <x:v>Xuyên sprint</x:v>
      </x:c>
      <x:c r="C339" s="20" t="str">
        <x:v>NFR</x:v>
      </x:c>
      <x:c r="D339" s="20" t="str"/>
      <x:c r="E339" s="20" t="str">
        <x:v>Backlog DoD</x:v>
      </x:c>
      <x:c r="F339" s="20" t="str">
        <x:v>Phi chức năng</x:v>
      </x:c>
      <x:c r="G339" s="20" t="str">
        <x:v>Unit test tầng service đạt ngưỡng 60%</x:v>
      </x:c>
      <x:c r="H339" s="20" t="str">
        <x:v>CI / Quality</x:v>
      </x:c>
      <x:c r="I339" s="20" t="str">
        <x:v>High</x:v>
      </x:c>
      <x:c r="J339" s="20" t="str">
        <x:v>QA / DevOps</x:v>
      </x:c>
      <x:c r="K339" s="20" t="str">
        <x:v>Staging có seed dữ liệu phù hợp; sử dụng tài khoản và dữ liệu giả lập.</x:v>
      </x:c>
      <x:c r="L339" s="20" t="str">
        <x:v>Pipeline CI có báo cáo coverage</x:v>
      </x:c>
      <x:c r="M339" s="20" t="str">
        <x:v>1. Chạy CI unit test backend
2. Đọc branch coverage phần mã service mới</x:v>
      </x:c>
      <x:c r="N339" s="20" t="str">
        <x:v>Coverage của nhánh mới &gt;= 60% theo Definition of Done; build/lint/test pass</x:v>
      </x:c>
      <x:c r="O339" s="20" t="str"/>
      <x:c r="P339" s="20" t="str">
        <x:v>Chưa chạy</x:v>
      </x:c>
      <x:c r="Q339" s="20" t="str"/>
      <x:c r="R339" s="20" t="str"/>
      <x:c r="S339" s="26" t="str"/>
      <x:c r="T339" s="20" t="str">
        <x:v>Cân nhắc</x:v>
      </x:c>
      <x:c r="U339" s="20" t="str">
        <x:v>Nếu tiêu chí có điều kiện hoặc chỉ số chưa chốt, xác nhận PO trước khi đánh Pass/Fail.</x:v>
      </x:c>
      <x:c r="V339" s="20" t="str"/>
      <x:c r="W339" s="20" t="str">
        <x:v>Backlog DoD</x:v>
      </x:c>
    </x:row>
    <x:row r="340" ht="92" customHeight="1">
      <x:c r="A340" s="20" t="str">
        <x:v>NFR-17</x:v>
      </x:c>
      <x:c r="B340" s="20" t="str">
        <x:v>Xuyên sprint</x:v>
      </x:c>
      <x:c r="C340" s="20" t="str">
        <x:v>NFR</x:v>
      </x:c>
      <x:c r="D340" s="20" t="str"/>
      <x:c r="E340" s="20" t="str">
        <x:v>Backlog DoD</x:v>
      </x:c>
      <x:c r="F340" s="20" t="str">
        <x:v>Phi chức năng</x:v>
      </x:c>
      <x:c r="G340" s="20" t="str">
        <x:v>Không còn lỗi Critical hoặc Major khi nghiệm thu</x:v>
      </x:c>
      <x:c r="H340" s="20" t="str">
        <x:v>Quality gate</x:v>
      </x:c>
      <x:c r="I340" s="20" t="str">
        <x:v>Critical</x:v>
      </x:c>
      <x:c r="J340" s="20" t="str">
        <x:v>QA / DevOps</x:v>
      </x:c>
      <x:c r="K340" s="20" t="str">
        <x:v>Staging có seed dữ liệu phù hợp; sử dụng tài khoản và dữ liệu giả lập.</x:v>
      </x:c>
      <x:c r="L340" s="20" t="str">
        <x:v>Bug log và release candidate staging</x:v>
      </x:c>
      <x:c r="M340" s="20" t="str">
        <x:v>1. Tổng hợp bug còn mở
2. Chạy smoke suite
3. Đối soát tiêu chí Sprint DoD</x:v>
      </x:c>
      <x:c r="N340" s="20" t="str">
        <x:v>0 Critical/Major đang mở khi PO nghiệm thu staging</x:v>
      </x:c>
      <x:c r="O340" s="20" t="str"/>
      <x:c r="P340" s="20" t="str">
        <x:v>Chưa chạy</x:v>
      </x:c>
      <x:c r="Q340" s="20" t="str"/>
      <x:c r="R340" s="20" t="str"/>
      <x:c r="S340" s="26" t="str"/>
      <x:c r="T340" s="20" t="str">
        <x:v>Cân nhắc</x:v>
      </x:c>
      <x:c r="U340" s="20" t="str">
        <x:v>Nếu tiêu chí có điều kiện hoặc chỉ số chưa chốt, xác nhận PO trước khi đánh Pass/Fail.</x:v>
      </x:c>
      <x:c r="V340" s="20" t="str"/>
      <x:c r="W340" s="20" t="str">
        <x:v>Backlog DoD</x:v>
      </x:c>
    </x:row>
    <x:row r="341" ht="92" customHeight="1">
      <x:c r="A341" s="20" t="str">
        <x:v>NFR-18</x:v>
      </x:c>
      <x:c r="B341" s="20" t="str">
        <x:v>Xuyên sprint</x:v>
      </x:c>
      <x:c r="C341" s="20" t="str">
        <x:v>NFR</x:v>
      </x:c>
      <x:c r="D341" s="20" t="str"/>
      <x:c r="E341" s="20" t="str">
        <x:v>Đề xuất QA</x:v>
      </x:c>
      <x:c r="F341" s="20" t="str">
        <x:v>Phi chức năng</x:v>
      </x:c>
      <x:c r="G341" s="20" t="str">
        <x:v>JWT chữ ký sai hoặc hết hạn bị từ chối</x:v>
      </x:c>
      <x:c r="H341" s="20" t="str">
        <x:v>Security</x:v>
      </x:c>
      <x:c r="I341" s="20" t="str">
        <x:v>Critical</x:v>
      </x:c>
      <x:c r="J341" s="20" t="str">
        <x:v>QA / DevOps</x:v>
      </x:c>
      <x:c r="K341" s="20" t="str">
        <x:v>Staging có seed dữ liệu phù hợp; sử dụng tài khoản và dữ liệu giả lập.</x:v>
      </x:c>
      <x:c r="L341" s="20" t="str">
        <x:v>JWT bị sửa payload, expired và token thiếu chữ ký</x:v>
      </x:c>
      <x:c r="M341" s="20" t="str">
        <x:v>1. Gửi API với ba token sai
2. Thử thay role trong claim
3. So sánh session state</x:v>
      </x:c>
      <x:c r="N341" s="20" t="str">
        <x:v>Tất cả token sai bị từ chối, không dựa vào role tự khai báo từ client</x:v>
      </x:c>
      <x:c r="O341" s="20" t="str"/>
      <x:c r="P341" s="20" t="str">
        <x:v>Chưa chạy</x:v>
      </x:c>
      <x:c r="Q341" s="20" t="str"/>
      <x:c r="R341" s="20" t="str"/>
      <x:c r="S341" s="26" t="str"/>
      <x:c r="T341" s="20" t="str">
        <x:v>Cân nhắc</x:v>
      </x:c>
      <x:c r="U341" s="20" t="str">
        <x:v>Nếu tiêu chí có điều kiện hoặc chỉ số chưa chốt, xác nhận PO trước khi đánh Pass/Fail.</x:v>
      </x:c>
      <x:c r="V341" s="20" t="str">
        <x:v>S1-01,S1-05</x:v>
      </x:c>
      <x:c r="W341" s="20" t="str">
        <x:v>Đề xuất QA</x:v>
      </x:c>
    </x:row>
    <x:row r="342" ht="92" customHeight="1">
      <x:c r="A342" s="20" t="str">
        <x:v>NFR-19</x:v>
      </x:c>
      <x:c r="B342" s="20" t="str">
        <x:v>Xuyên sprint</x:v>
      </x:c>
      <x:c r="C342" s="20" t="str">
        <x:v>NFR</x:v>
      </x:c>
      <x:c r="D342" s="20" t="str"/>
      <x:c r="E342" s="20" t="str">
        <x:v>Đề xuất QA</x:v>
      </x:c>
      <x:c r="F342" s="20" t="str">
        <x:v>Phi chức năng</x:v>
      </x:c>
      <x:c r="G342" s="20" t="str">
        <x:v>SQL injection trong tìm kiếm hồ sơ</x:v>
      </x:c>
      <x:c r="H342" s="20" t="str">
        <x:v>Security</x:v>
      </x:c>
      <x:c r="I342" s="20" t="str">
        <x:v>Critical</x:v>
      </x:c>
      <x:c r="J342" s="20" t="str">
        <x:v>QA / DevOps</x:v>
      </x:c>
      <x:c r="K342" s="20" t="str">
        <x:v>Staging có seed dữ liệu phù hợp; sử dụng tài khoản và dữ liệu giả lập.</x:v>
      </x:c>
      <x:c r="L342" s="20" t="str">
        <x:v>Payload kiểm thử không phá dữ liệu, ví dụ ' OR '1'='1</x:v>
      </x:c>
      <x:c r="M342" s="20" t="str">
        <x:v>1. Gửi payload ở ô tìm tên/email/filter
2. Quan sát lỗi và truy vấn
3. Kiểm tra toàn vẹn dữ liệu</x:v>
      </x:c>
      <x:c r="N342" s="20" t="str">
        <x:v>Không thực thi SQL ngoài ý muốn, không bỏ qua kiểm quyền; dùng tham số hóa truy vấn</x:v>
      </x:c>
      <x:c r="O342" s="20" t="str"/>
      <x:c r="P342" s="20" t="str">
        <x:v>Chưa chạy</x:v>
      </x:c>
      <x:c r="Q342" s="20" t="str"/>
      <x:c r="R342" s="20" t="str"/>
      <x:c r="S342" s="26" t="str"/>
      <x:c r="T342" s="20" t="str">
        <x:v>Cân nhắc</x:v>
      </x:c>
      <x:c r="U342" s="20" t="str">
        <x:v>Nếu tiêu chí có điều kiện hoặc chỉ số chưa chốt, xác nhận PO trước khi đánh Pass/Fail.</x:v>
      </x:c>
      <x:c r="V342" s="20" t="str">
        <x:v>S5-05</x:v>
      </x:c>
      <x:c r="W342" s="20" t="str">
        <x:v>Đề xuất QA</x:v>
      </x:c>
    </x:row>
    <x:row r="343" ht="92" customHeight="1">
      <x:c r="A343" s="20" t="str">
        <x:v>NFR-20</x:v>
      </x:c>
      <x:c r="B343" s="20" t="str">
        <x:v>Xuyên sprint</x:v>
      </x:c>
      <x:c r="C343" s="20" t="str">
        <x:v>NFR</x:v>
      </x:c>
      <x:c r="D343" s="20" t="str"/>
      <x:c r="E343" s="20" t="str">
        <x:v>Đề xuất QA</x:v>
      </x:c>
      <x:c r="F343" s="20" t="str">
        <x:v>Phi chức năng</x:v>
      </x:c>
      <x:c r="G343" s="20" t="str">
        <x:v>Stored XSS trong ghi chú hoặc nội dung tin</x:v>
      </x:c>
      <x:c r="H343" s="20" t="str">
        <x:v>Security</x:v>
      </x:c>
      <x:c r="I343" s="20" t="str">
        <x:v>High</x:v>
      </x:c>
      <x:c r="J343" s="20" t="str">
        <x:v>QA / DevOps</x:v>
      </x:c>
      <x:c r="K343" s="20" t="str">
        <x:v>Staging có seed dữ liệu phù hợp; sử dụng tài khoản và dữ liệu giả lập.</x:v>
      </x:c>
      <x:c r="L343" s="20" t="str">
        <x:v>Chuỗi script kiểm thử trong mô tả và ghi chú</x:v>
      </x:c>
      <x:c r="M343" s="20" t="str">
        <x:v>1. Lưu payload vào trường có quyền
2. Mở qua tài khoản khác và công khai
3. Kiểm tra DOM</x:v>
      </x:c>
      <x:c r="N343" s="20" t="str">
        <x:v>Nội dung được encode/sanitize, không thực thi script ở trình duyệt</x:v>
      </x:c>
      <x:c r="O343" s="20" t="str"/>
      <x:c r="P343" s="20" t="str">
        <x:v>Chưa chạy</x:v>
      </x:c>
      <x:c r="Q343" s="20" t="str"/>
      <x:c r="R343" s="20" t="str"/>
      <x:c r="S343" s="26" t="str"/>
      <x:c r="T343" s="20" t="str">
        <x:v>Cân nhắc</x:v>
      </x:c>
      <x:c r="U343" s="20" t="str">
        <x:v>Nếu tiêu chí có điều kiện hoặc chỉ số chưa chốt, xác nhận PO trước khi đánh Pass/Fail.</x:v>
      </x:c>
      <x:c r="V343" s="20" t="str">
        <x:v>S3-09,S5-04</x:v>
      </x:c>
      <x:c r="W343" s="20" t="str">
        <x:v>Đề xuất QA</x:v>
      </x:c>
    </x:row>
    <x:row r="344" ht="92" customHeight="1">
      <x:c r="A344" s="20" t="str">
        <x:v>NFR-21</x:v>
      </x:c>
      <x:c r="B344" s="20" t="str">
        <x:v>Xuyên sprint</x:v>
      </x:c>
      <x:c r="C344" s="20" t="str">
        <x:v>NFR</x:v>
      </x:c>
      <x:c r="D344" s="20" t="str"/>
      <x:c r="E344" s="20" t="str">
        <x:v>Đề xuất QA</x:v>
      </x:c>
      <x:c r="F344" s="20" t="str">
        <x:v>Phi chức năng</x:v>
      </x:c>
      <x:c r="G344" s="20" t="str">
        <x:v>CV lưu private và tải file kiểm quyền</x:v>
      </x:c>
      <x:c r="H344" s="20" t="str">
        <x:v>Security / Privacy</x:v>
      </x:c>
      <x:c r="I344" s="20" t="str">
        <x:v>Critical</x:v>
      </x:c>
      <x:c r="J344" s="20" t="str">
        <x:v>QA / DevOps</x:v>
      </x:c>
      <x:c r="K344" s="20" t="str">
        <x:v>Staging có seed dữ liệu phù hợp; sử dụng tài khoản và dữ liệu giả lập.</x:v>
      </x:c>
      <x:c r="L344" s="20" t="str">
        <x:v>CV của ứng viên job B, Recruiter A không quản lý B</x:v>
      </x:c>
      <x:c r="M344" s="20" t="str">
        <x:v>1. Lấy URL download
2. Mở ở trình duyệt ẩn danh
3. Đăng nhập A thử tải CV B</x:v>
      </x:c>
      <x:c r="N344" s="20" t="str">
        <x:v>Cả hai lượt trái quyền bị từ chối; không cấp URL public vĩnh viễn</x:v>
      </x:c>
      <x:c r="O344" s="20" t="str"/>
      <x:c r="P344" s="20" t="str">
        <x:v>Chưa chạy</x:v>
      </x:c>
      <x:c r="Q344" s="20" t="str"/>
      <x:c r="R344" s="20" t="str"/>
      <x:c r="S344" s="26" t="str"/>
      <x:c r="T344" s="20" t="str">
        <x:v>Cân nhắc</x:v>
      </x:c>
      <x:c r="U344" s="20" t="str">
        <x:v>Nếu tiêu chí có điều kiện hoặc chỉ số chưa chốt, xác nhận PO trước khi đánh Pass/Fail.</x:v>
      </x:c>
      <x:c r="V344" s="20" t="str">
        <x:v>S4-03,S4-09</x:v>
      </x:c>
      <x:c r="W344" s="20" t="str">
        <x:v>Đề xuất QA</x:v>
      </x:c>
    </x:row>
    <x:row r="345" ht="92" customHeight="1">
      <x:c r="A345" s="20" t="str">
        <x:v>NFR-22</x:v>
      </x:c>
      <x:c r="B345" s="20" t="str">
        <x:v>Xuyên sprint</x:v>
      </x:c>
      <x:c r="C345" s="20" t="str">
        <x:v>NFR</x:v>
      </x:c>
      <x:c r="D345" s="20" t="str"/>
      <x:c r="E345" s="20" t="str">
        <x:v>Đề xuất QA có điều kiện</x:v>
      </x:c>
      <x:c r="F345" s="20" t="str">
        <x:v>Phi chức năng</x:v>
      </x:c>
      <x:c r="G345" s="20" t="str">
        <x:v>Bảo vệ thao tác đổi trạng thái khi dùng cookie session</x:v>
      </x:c>
      <x:c r="H345" s="20" t="str">
        <x:v>Security</x:v>
      </x:c>
      <x:c r="I345" s="20" t="str">
        <x:v>High</x:v>
      </x:c>
      <x:c r="J345" s="20" t="str">
        <x:v>QA / DevOps</x:v>
      </x:c>
      <x:c r="K345" s="20" t="str">
        <x:v>Staging có seed dữ liệu phù hợp; sử dụng tài khoản và dữ liệu giả lập.</x:v>
      </x:c>
      <x:c r="L345" s="20" t="str">
        <x:v>Nếu triển khai refresh/session bằng cookie</x:v>
      </x:c>
      <x:c r="M345" s="20" t="str">
        <x:v>1. Thử POST từ origin ngoài mà không có CSRF token
2. Thử request hợp lệ cùng origin</x:v>
      </x:c>
      <x:c r="N345" s="20" t="str">
        <x:v>Request không có nguồn/tokens hợp lệ bị chặn theo mô hình session đã chốt; nếu chỉ dùng Authorization Bearer ghi N/A và kiểm CORS</x:v>
      </x:c>
      <x:c r="O345" s="20" t="str"/>
      <x:c r="P345" s="20" t="str">
        <x:v>Chưa chạy</x:v>
      </x:c>
      <x:c r="Q345" s="20" t="str"/>
      <x:c r="R345" s="20" t="str"/>
      <x:c r="S345" s="26" t="str"/>
      <x:c r="T345" s="20" t="str">
        <x:v>Cân nhắc</x:v>
      </x:c>
      <x:c r="U345" s="20" t="str">
        <x:v>Nếu tiêu chí có điều kiện hoặc chỉ số chưa chốt, xác nhận PO trước khi đánh Pass/Fail.</x:v>
      </x:c>
      <x:c r="V345" s="20" t="str">
        <x:v>S1-02</x:v>
      </x:c>
      <x:c r="W345" s="20" t="str">
        <x:v>Đề xuất QA có điều kiện</x:v>
      </x:c>
    </x:row>
    <x:row r="346" ht="92" customHeight="1">
      <x:c r="A346" s="20" t="str">
        <x:v>NFR-23</x:v>
      </x:c>
      <x:c r="B346" s="20" t="str">
        <x:v>Xuyên sprint</x:v>
      </x:c>
      <x:c r="C346" s="20" t="str">
        <x:v>NFR</x:v>
      </x:c>
      <x:c r="D346" s="20" t="str"/>
      <x:c r="E346" s="20" t="str">
        <x:v>Đề xuất QA</x:v>
      </x:c>
      <x:c r="F346" s="20" t="str">
        <x:v>Phi chức năng</x:v>
      </x:c>
      <x:c r="G346" s="20" t="str">
        <x:v>Hàng đợi email khôi phục sau SMTP tạm lỗi</x:v>
      </x:c>
      <x:c r="H346" s="20" t="str">
        <x:v>Reliability</x:v>
      </x:c>
      <x:c r="I346" s="20" t="str">
        <x:v>High</x:v>
      </x:c>
      <x:c r="J346" s="20" t="str">
        <x:v>QA / DevOps</x:v>
      </x:c>
      <x:c r="K346" s="20" t="str">
        <x:v>Staging có seed dữ liệu phù hợp; sử dụng tài khoản và dữ liệu giả lập.</x:v>
      </x:c>
      <x:c r="L346" s="20" t="str">
        <x:v>SMTP sandbox lỗi 5 phút</x:v>
      </x:c>
      <x:c r="M346" s="20" t="str">
        <x:v>1. Tắt SMTP
2. Thực hiện gửi thư
3. Khôi phục SMTP
4. Kiểm tra queue/log/idempotency</x:v>
      </x:c>
      <x:c r="N346" s="20" t="str">
        <x:v>Thao tác nghiệp vụ gốc vẫn lưu; email được retry hoặc ghi Failed rõ ràng, không gửi trùng</x:v>
      </x:c>
      <x:c r="O346" s="20" t="str"/>
      <x:c r="P346" s="20" t="str">
        <x:v>Chưa chạy</x:v>
      </x:c>
      <x:c r="Q346" s="20" t="str"/>
      <x:c r="R346" s="20" t="str"/>
      <x:c r="S346" s="26" t="str"/>
      <x:c r="T346" s="20" t="str">
        <x:v>Cân nhắc</x:v>
      </x:c>
      <x:c r="U346" s="20" t="str">
        <x:v>Nếu tiêu chí có điều kiện hoặc chỉ số chưa chốt, xác nhận PO trước khi đánh Pass/Fail.</x:v>
      </x:c>
      <x:c r="V346" s="20" t="str">
        <x:v>S8-02</x:v>
      </x:c>
      <x:c r="W346" s="20" t="str">
        <x:v>Đề xuất QA</x:v>
      </x:c>
    </x:row>
    <x:row r="347" ht="92" customHeight="1">
      <x:c r="A347" s="20" t="str">
        <x:v>NFR-24</x:v>
      </x:c>
      <x:c r="B347" s="20" t="str">
        <x:v>Xuyên sprint</x:v>
      </x:c>
      <x:c r="C347" s="20" t="str">
        <x:v>NFR</x:v>
      </x:c>
      <x:c r="D347" s="20" t="str"/>
      <x:c r="E347" s="20" t="str">
        <x:v>Đề xuất QA</x:v>
      </x:c>
      <x:c r="F347" s="20" t="str">
        <x:v>Phi chức năng</x:v>
      </x:c>
      <x:c r="G347" s="20" t="str">
        <x:v>Nhật ký không chứa mật khẩu hoặc token nguyên bản</x:v>
      </x:c>
      <x:c r="H347" s="20" t="str">
        <x:v>Security</x:v>
      </x:c>
      <x:c r="I347" s="20" t="str">
        <x:v>Critical</x:v>
      </x:c>
      <x:c r="J347" s="20" t="str">
        <x:v>QA / DevOps</x:v>
      </x:c>
      <x:c r="K347" s="20" t="str">
        <x:v>Staging có seed dữ liệu phù hợp; sử dụng tài khoản và dữ liệu giả lập.</x:v>
      </x:c>
      <x:c r="L347" s="20" t="str">
        <x:v>Đăng nhập/thay mật khẩu và lỗi 500 mô phỏng</x:v>
      </x:c>
      <x:c r="M347" s="20" t="str">
        <x:v>1. Tạo phiên
2. Gây request lỗi có field password/token
3. Tìm trong application/access logs</x:v>
      </x:c>
      <x:c r="N347" s="20" t="str">
        <x:v>Không có mật khẩu, access token, refresh token hoặc secret plaintext trong log</x:v>
      </x:c>
      <x:c r="O347" s="20" t="str"/>
      <x:c r="P347" s="20" t="str">
        <x:v>Chưa chạy</x:v>
      </x:c>
      <x:c r="Q347" s="20" t="str"/>
      <x:c r="R347" s="20" t="str"/>
      <x:c r="S347" s="26" t="str"/>
      <x:c r="T347" s="20" t="str">
        <x:v>Cân nhắc</x:v>
      </x:c>
      <x:c r="U347" s="20" t="str">
        <x:v>Nếu tiêu chí có điều kiện hoặc chỉ số chưa chốt, xác nhận PO trước khi đánh Pass/Fail.</x:v>
      </x:c>
      <x:c r="V347" s="20" t="str">
        <x:v>S1-01,S1-04</x:v>
      </x:c>
      <x:c r="W347" s="20" t="str">
        <x:v>Đề xuất QA</x:v>
      </x:c>
    </x:row>
    <x:row r="348" ht="92" customHeight="1">
      <x:c r="A348" s="20" t="str">
        <x:v>NFR-25</x:v>
      </x:c>
      <x:c r="B348" s="20" t="str">
        <x:v>Xuyên sprint</x:v>
      </x:c>
      <x:c r="C348" s="20" t="str">
        <x:v>NFR</x:v>
      </x:c>
      <x:c r="D348" s="20" t="str"/>
      <x:c r="E348" s="20" t="str">
        <x:v>Đề xuất QA</x:v>
      </x:c>
      <x:c r="F348" s="20" t="str">
        <x:v>Phi chức năng</x:v>
      </x:c>
      <x:c r="G348" s="20" t="str">
        <x:v>Mất kết nối giữa khi gửi hồ sơ không tạo hồ sơ trùng</x:v>
      </x:c>
      <x:c r="H348" s="20" t="str">
        <x:v>Reliability</x:v>
      </x:c>
      <x:c r="I348" s="20" t="str">
        <x:v>High</x:v>
      </x:c>
      <x:c r="J348" s="20" t="str">
        <x:v>QA / DevOps</x:v>
      </x:c>
      <x:c r="K348" s="20" t="str">
        <x:v>Staging có seed dữ liệu phù hợp; sử dụng tài khoản và dữ liệu giả lập.</x:v>
      </x:c>
      <x:c r="L348" s="20" t="str">
        <x:v>Hai request apply cùng email và job</x:v>
      </x:c>
      <x:c r="M348" s="20" t="str">
        <x:v>1. Bắt đầu nộp CV
2. Mô phỏng mất kết nối sau khi server ghi
3. Retry cùng payload</x:v>
      </x:c>
      <x:c r="N348" s="20" t="str">
        <x:v>Tối đa một hồ sơ ứng tuyển cùng email + job; UI nhận diện kết quả cũ hoặc báo trùng rõ ràng</x:v>
      </x:c>
      <x:c r="O348" s="20" t="str"/>
      <x:c r="P348" s="20" t="str">
        <x:v>Chưa chạy</x:v>
      </x:c>
      <x:c r="Q348" s="20" t="str"/>
      <x:c r="R348" s="20" t="str"/>
      <x:c r="S348" s="26" t="str"/>
      <x:c r="T348" s="20" t="str">
        <x:v>Cân nhắc</x:v>
      </x:c>
      <x:c r="U348" s="20" t="str">
        <x:v>Nếu tiêu chí có điều kiện hoặc chỉ số chưa chốt, xác nhận PO trước khi đánh Pass/Fail.</x:v>
      </x:c>
      <x:c r="V348" s="20" t="str">
        <x:v>S4-03</x:v>
      </x:c>
      <x:c r="W348" s="20" t="str">
        <x:v>Đề xuất QA</x:v>
      </x:c>
    </x:row>
    <x:row r="349" ht="92" customHeight="1">
      <x:c r="A349" s="20" t="str">
        <x:v>NFR-26</x:v>
      </x:c>
      <x:c r="B349" s="20" t="str">
        <x:v>Xuyên sprint</x:v>
      </x:c>
      <x:c r="C349" s="20" t="str">
        <x:v>NFR</x:v>
      </x:c>
      <x:c r="D349" s="20" t="str"/>
      <x:c r="E349" s="20" t="str">
        <x:v>Đề xuất QA</x:v>
      </x:c>
      <x:c r="F349" s="20" t="str">
        <x:v>Phi chức năng</x:v>
      </x:c>
      <x:c r="G349" s="20" t="str">
        <x:v>Phục hồi sau restart Docker toàn bộ dịch vụ</x:v>
      </x:c>
      <x:c r="H349" s="20" t="str">
        <x:v>Deployment</x:v>
      </x:c>
      <x:c r="I349" s="20" t="str">
        <x:v>High</x:v>
      </x:c>
      <x:c r="J349" s="20" t="str">
        <x:v>QA / DevOps</x:v>
      </x:c>
      <x:c r="K349" s="20" t="str">
        <x:v>Staging có seed dữ liệu phù hợp; sử dụng tài khoản và dữ liệu giả lập.</x:v>
      </x:c>
      <x:c r="L349" s="20" t="str">
        <x:v>Docker Compose staging có backend, frontend, PostgreSQL và mail stub</x:v>
      </x:c>
      <x:c r="M349" s="20" t="str">
        <x:v>1. Tạo hồ sơ và upload CV
2. Restart backend/frontend
3. Kiểm tra health/readiness và CRUD</x:v>
      </x:c>
      <x:c r="N349" s="20" t="str">
        <x:v>Không mất DB hoặc CV đã lưu; dịch vụ trở lại hoạt động, cấu hình secrets không lộ trong log</x:v>
      </x:c>
      <x:c r="O349" s="20" t="str"/>
      <x:c r="P349" s="20" t="str">
        <x:v>Chưa chạy</x:v>
      </x:c>
      <x:c r="Q349" s="20" t="str"/>
      <x:c r="R349" s="20" t="str"/>
      <x:c r="S349" s="26" t="str"/>
      <x:c r="T349" s="20" t="str">
        <x:v>Cân nhắc</x:v>
      </x:c>
      <x:c r="U349" s="20" t="str">
        <x:v>Nếu tiêu chí có điều kiện hoặc chỉ số chưa chốt, xác nhận PO trước khi đánh Pass/Fail.</x:v>
      </x:c>
      <x:c r="V349" s="20" t="str"/>
      <x:c r="W349" s="20" t="str">
        <x:v>Đề xuất QA</x:v>
      </x:c>
    </x:row>
    <x:row r="350" ht="92" customHeight="1">
      <x:c r="A350" s="20" t="str">
        <x:v>E2E-01</x:v>
      </x:c>
      <x:c r="B350" s="20" t="n">
        <x:v>1</x:v>
      </x:c>
      <x:c r="C350" s="20" t="str">
        <x:v>E2E</x:v>
      </x:c>
      <x:c r="D350" s="20" t="str"/>
      <x:c r="E350" s="20" t="str">
        <x:v>Luồng tích hợp</x:v>
      </x:c>
      <x:c r="F350" s="20" t="str">
        <x:v>End-to-end</x:v>
      </x:c>
      <x:c r="G350" s="20" t="str">
        <x:v>Onboard tài khoản nội bộ, đăng nhập và kiểm quyền</x:v>
      </x:c>
      <x:c r="H350" s="20" t="str">
        <x:v>E2E</x:v>
      </x:c>
      <x:c r="I350" s="20" t="str">
        <x:v>Critical</x:v>
      </x:c>
      <x:c r="J350" s="20" t="str">
        <x:v>QA / PO</x:v>
      </x:c>
      <x:c r="K350" s="20" t="str">
        <x:v>Tất cả story liên quan đã triển khai trên staging; email sandbox và dữ liệu pilot sẵn sàng.</x:v>
      </x:c>
      <x:c r="L350" s="20" t="str">
        <x:v>admin@ats.test; recruiter.a@ats.test; manager.a@ats.test; interviewer.a@ats.test</x:v>
      </x:c>
      <x:c r="M350" s="20" t="str">
        <x:v>Admin tạo Recruiter + Interviewer, kích hoạt qua email
user đăng nhập
kiểm tra menu/API
Admin thu hồi Recruiter khi phiên đang mở</x:v>
      </x:c>
      <x:c r="N350" s="20" t="str">
        <x:v>Tài khoản kích hoạt được, thấy đúng menu và quyền; thu hồi role cắt API ngay</x:v>
      </x:c>
      <x:c r="O350" s="20" t="str"/>
      <x:c r="P350" s="20" t="str">
        <x:v>Chưa chạy</x:v>
      </x:c>
      <x:c r="Q350" s="20" t="str"/>
      <x:c r="R350" s="20" t="str"/>
      <x:c r="S350" s="26" t="str"/>
      <x:c r="T350" s="20" t="str">
        <x:v>Chạy thủ công trước</x:v>
      </x:c>
      <x:c r="U350" s="20" t="str">
        <x:v>Chạy cuối sprint và khi regression trước Sprint 8.</x:v>
      </x:c>
      <x:c r="V350" s="20" t="str">
        <x:v>S1-08,S1-01,S1-02,S1-05,S1-06,S1-09,S1-10</x:v>
      </x:c>
      <x:c r="W350" s="20" t="str">
        <x:v>E2E / UAT</x:v>
      </x:c>
    </x:row>
    <x:row r="351" ht="92" customHeight="1">
      <x:c r="A351" s="20" t="str">
        <x:v>E2E-02</x:v>
      </x:c>
      <x:c r="B351" s="20" t="n">
        <x:v>2</x:v>
      </x:c>
      <x:c r="C351" s="20" t="str">
        <x:v>E2E</x:v>
      </x:c>
      <x:c r="D351" s="20" t="str"/>
      <x:c r="E351" s="20" t="str">
        <x:v>Luồng tích hợp</x:v>
      </x:c>
      <x:c r="F351" s="20" t="str">
        <x:v>End-to-end</x:v>
      </x:c>
      <x:c r="G351" s="20" t="str">
        <x:v>Danh mục tổ chức tới yêu cầu tuyển dụng nháp</x:v>
      </x:c>
      <x:c r="H351" s="20" t="str">
        <x:v>E2E</x:v>
      </x:c>
      <x:c r="I351" s="20" t="str">
        <x:v>Critical</x:v>
      </x:c>
      <x:c r="J351" s="20" t="str">
        <x:v>QA / PO</x:v>
      </x:c>
      <x:c r="K351" s="20" t="str">
        <x:v>Tất cả story liên quan đã triển khai trên staging; email sandbox và dữ liệu pilot sẵn sàng.</x:v>
      </x:c>
      <x:c r="L351" s="20" t="str">
        <x:v>Phòng Công nghệ; chức danh Backend Developer; dải lương 15–25 triệu VND</x:v>
      </x:c>
      <x:c r="M351" s="20" t="str">
        <x:v>HR tạo phòng ban/chức danh/dải lương/khung năng lực
HM tạo requisition xin headcount
thử lưu nháp và gửi với lương ngoài dải</x:v>
      </x:c>
      <x:c r="N351" s="20" t="str">
        <x:v>Các liên kết danh mục đúng; REQ lưu nháp, kiểm tra giải trình và ngày cần người</x:v>
      </x:c>
      <x:c r="O351" s="20" t="str"/>
      <x:c r="P351" s="20" t="str">
        <x:v>Chưa chạy</x:v>
      </x:c>
      <x:c r="Q351" s="20" t="str"/>
      <x:c r="R351" s="20" t="str"/>
      <x:c r="S351" s="26" t="str"/>
      <x:c r="T351" s="20" t="str">
        <x:v>Chạy thủ công trước</x:v>
      </x:c>
      <x:c r="U351" s="20" t="str">
        <x:v>Chạy cuối sprint và khi regression trước Sprint 8.</x:v>
      </x:c>
      <x:c r="V351" s="20" t="str">
        <x:v>S2-04,S2-05,S2-06,S2-08,S2-10</x:v>
      </x:c>
      <x:c r="W351" s="20" t="str">
        <x:v>E2E / UAT</x:v>
      </x:c>
    </x:row>
    <x:row r="352" ht="92" customHeight="1">
      <x:c r="A352" s="20" t="str">
        <x:v>E2E-03</x:v>
      </x:c>
      <x:c r="B352" s="20" t="n">
        <x:v>3</x:v>
      </x:c>
      <x:c r="C352" s="20" t="str">
        <x:v>E2E</x:v>
      </x:c>
      <x:c r="D352" s="20" t="str"/>
      <x:c r="E352" s="20" t="str">
        <x:v>Luồng tích hợp</x:v>
      </x:c>
      <x:c r="F352" s="20" t="str">
        <x:v>End-to-end</x:v>
      </x:c>
      <x:c r="G352" s="20" t="str">
        <x:v>Phê duyệt headcount rồi xuất bản tin công khai</x:v>
      </x:c>
      <x:c r="H352" s="20" t="str">
        <x:v>E2E</x:v>
      </x:c>
      <x:c r="I352" s="20" t="str">
        <x:v>Critical</x:v>
      </x:c>
      <x:c r="J352" s="20" t="str">
        <x:v>QA / PO</x:v>
      </x:c>
      <x:c r="K352" s="20" t="str">
        <x:v>Tất cả story liên quan đã triển khai trên staging; email sandbox và dữ liệu pilot sẵn sàng.</x:v>
      </x:c>
      <x:c r="L352" s="20" t="str">
        <x:v>REQ-TEST-001; cấp duyệt L1/L2/L3; hạn mức 25 triệu VND</x:v>
      </x:c>
      <x:c r="M352" s="20" t="str">
        <x:v>Cấu hình luồng hai cấp
tạo REQ
Approver duyệt từng cấp
HR phân recruiter
tạo và duyệt tin
ứng viên mở cổng</x:v>
      </x:c>
      <x:c r="N352" s="20" t="str">
        <x:v>Lịch sử duyệt bất biến; tin chỉ công khai sau khi đủ duyệt, recruiter chỉ thấy vị trí được giao</x:v>
      </x:c>
      <x:c r="O352" s="20" t="str"/>
      <x:c r="P352" s="20" t="str">
        <x:v>Chưa chạy</x:v>
      </x:c>
      <x:c r="Q352" s="20" t="str"/>
      <x:c r="R352" s="20" t="str"/>
      <x:c r="S352" s="26" t="str"/>
      <x:c r="T352" s="20" t="str">
        <x:v>Chạy thủ công trước</x:v>
      </x:c>
      <x:c r="U352" s="20" t="str">
        <x:v>Chạy cuối sprint và khi regression trước Sprint 8.</x:v>
      </x:c>
      <x:c r="V352" s="20" t="str">
        <x:v>S3-01,S3-02,S3-03,S3-04,S3-06,S3-09,S3-10,S4-01</x:v>
      </x:c>
      <x:c r="W352" s="20" t="str">
        <x:v>E2E / UAT</x:v>
      </x:c>
    </x:row>
    <x:row r="353" ht="92" customHeight="1">
      <x:c r="A353" s="20" t="str">
        <x:v>E2E-04</x:v>
      </x:c>
      <x:c r="B353" s="20" t="n">
        <x:v>4</x:v>
      </x:c>
      <x:c r="C353" s="20" t="str">
        <x:v>E2E</x:v>
      </x:c>
      <x:c r="D353" s="20" t="str"/>
      <x:c r="E353" s="20" t="str">
        <x:v>Luồng tích hợp</x:v>
      </x:c>
      <x:c r="F353" s="20" t="str">
        <x:v>End-to-end</x:v>
      </x:c>
      <x:c r="G353" s="20" t="str">
        <x:v>Ứng viên nộp CV trên mobile, tra cứu và rút hồ sơ</x:v>
      </x:c>
      <x:c r="H353" s="20" t="str">
        <x:v>E2E</x:v>
      </x:c>
      <x:c r="I353" s="20" t="str">
        <x:v>Critical</x:v>
      </x:c>
      <x:c r="J353" s="20" t="str">
        <x:v>QA / PO</x:v>
      </x:c>
      <x:c r="K353" s="20" t="str">
        <x:v>Tất cả story liên quan đã triển khai trên staging; email sandbox và dữ liệu pilot sẵn sàng.</x:v>
      </x:c>
      <x:c r="L353" s="20" t="str">
        <x:v>job QA-TEST-001; ứng viên Nguyễn Minh Test; candidate01@example.test; 0900000001; CV mẫu</x:v>
      </x:c>
      <x:c r="M353" s="20" t="str">
        <x:v>Trên viewport 360px tìm việc đang mở, xem chi tiết
nộp PDF 2MB
đọc mail/mã
tra cứu trạng thái
rút qua liên kết</x:v>
      </x:c>
      <x:c r="N353" s="20" t="str">
        <x:v>Một hồ sơ hợp lệ được tạo; email và mã đúng; trạng thái không lộ ghi chú; rút thành công và recruiter nhận thông báo</x:v>
      </x:c>
      <x:c r="O353" s="20" t="str"/>
      <x:c r="P353" s="20" t="str">
        <x:v>Chưa chạy</x:v>
      </x:c>
      <x:c r="Q353" s="20" t="str"/>
      <x:c r="R353" s="20" t="str"/>
      <x:c r="S353" s="26" t="str"/>
      <x:c r="T353" s="20" t="str">
        <x:v>Chạy thủ công trước</x:v>
      </x:c>
      <x:c r="U353" s="20" t="str">
        <x:v>Chạy cuối sprint và khi regression trước Sprint 8.</x:v>
      </x:c>
      <x:c r="V353" s="20" t="str">
        <x:v>S4-01,S4-02,S4-03,S4-05,S4-06,S4-09</x:v>
      </x:c>
      <x:c r="W353" s="20" t="str">
        <x:v>E2E / UAT</x:v>
      </x:c>
    </x:row>
    <x:row r="354" ht="92" customHeight="1">
      <x:c r="A354" s="20" t="str">
        <x:v>E2E-05</x:v>
      </x:c>
      <x:c r="B354" s="20" t="n">
        <x:v>5</x:v>
      </x:c>
      <x:c r="C354" s="20" t="str">
        <x:v>E2E</x:v>
      </x:c>
      <x:c r="D354" s="20" t="str"/>
      <x:c r="E354" s="20" t="str">
        <x:v>Luồng tích hợp</x:v>
      </x:c>
      <x:c r="F354" s="20" t="str">
        <x:v>End-to-end</x:v>
      </x:c>
      <x:c r="G354" s="20" t="str">
        <x:v>Phát hiện trùng, sàng lọc rồi chuyển pipeline</x:v>
      </x:c>
      <x:c r="H354" s="20" t="str">
        <x:v>E2E</x:v>
      </x:c>
      <x:c r="I354" s="20" t="str">
        <x:v>Critical</x:v>
      </x:c>
      <x:c r="J354" s="20" t="str">
        <x:v>QA / PO</x:v>
      </x:c>
      <x:c r="K354" s="20" t="str">
        <x:v>Tất cả story liên quan đã triển khai trên staging; email sandbox và dữ liệu pilot sẵn sàng.</x:v>
      </x:c>
      <x:c r="L354" s="20" t="str">
        <x:v>candidate01@example.test / 0900000001; nhãn Python; 20 CV mẫu</x:v>
      </x:c>
      <x:c r="M354" s="20" t="str">
        <x:v>Recruiter import/thêm tay hồ sơ trùng
gộp
đánh nhãn/sao
lọc
chuyển sang Sàng lọc rồi Phỏng vấn
thử skip offer</x:v>
      </x:c>
      <x:c r="N354" s="20" t="str">
        <x:v>Không mất lịch sử, kanban/đếm đúng, ghi nhật ký chuyển giai đoạn, bỏ qua phỏng vấn bị chặn</x:v>
      </x:c>
      <x:c r="O354" s="20" t="str"/>
      <x:c r="P354" s="20" t="str">
        <x:v>Chưa chạy</x:v>
      </x:c>
      <x:c r="Q354" s="20" t="str"/>
      <x:c r="R354" s="20" t="str"/>
      <x:c r="S354" s="26" t="str"/>
      <x:c r="T354" s="20" t="str">
        <x:v>Chạy thủ công trước</x:v>
      </x:c>
      <x:c r="U354" s="20" t="str">
        <x:v>Chạy cuối sprint và khi regression trước Sprint 8.</x:v>
      </x:c>
      <x:c r="V354" s="20" t="str">
        <x:v>S5-01,S5-02,S5-03,S5-04,S5-05,S5-07,S5-08</x:v>
      </x:c>
      <x:c r="W354" s="20" t="str">
        <x:v>E2E / UAT</x:v>
      </x:c>
    </x:row>
    <x:row r="355" ht="92" customHeight="1">
      <x:c r="A355" s="20" t="str">
        <x:v>E2E-06</x:v>
      </x:c>
      <x:c r="B355" s="20" t="n">
        <x:v>6</x:v>
      </x:c>
      <x:c r="C355" s="20" t="str">
        <x:v>E2E</x:v>
      </x:c>
      <x:c r="D355" s="20" t="str"/>
      <x:c r="E355" s="20" t="str">
        <x:v>Luồng tích hợp</x:v>
      </x:c>
      <x:c r="F355" s="20" t="str">
        <x:v>End-to-end</x:v>
      </x:c>
      <x:c r="G355" s="20" t="str">
        <x:v>Đặt lịch, xác nhận, phỏng vấn và nộp phiếu</x:v>
      </x:c>
      <x:c r="H355" s="20" t="str">
        <x:v>E2E</x:v>
      </x:c>
      <x:c r="I355" s="20" t="str">
        <x:v>Critical</x:v>
      </x:c>
      <x:c r="J355" s="20" t="str">
        <x:v>QA / PO</x:v>
      </x:c>
      <x:c r="K355" s="20" t="str">
        <x:v>Tất cả story liên quan đã triển khai trên staging; email sandbox và dữ liệu pilot sẵn sàng.</x:v>
      </x:c>
      <x:c r="L355" s="20" t="str">
        <x:v>2026-10-05 09:00–10:00 ICT; Phòng họp A; interviewee 001</x:v>
      </x:c>
      <x:c r="M355" s="20" t="str">
        <x:v>Recruiter đặt lịch cho 1 ứng viên, thử phòng trùng
ứng viên xác nhận qua mail
interviewer chấm phiếu theo khung
HM so sánh</x:v>
      </x:c>
      <x:c r="N355" s="20" t="str">
        <x:v>Lịch đúng ICT không trùng; email đúng; phiếu tính trọng số chính xác và chỉ hiện theo quyền</x:v>
      </x:c>
      <x:c r="O355" s="20" t="str"/>
      <x:c r="P355" s="20" t="str">
        <x:v>Chưa chạy</x:v>
      </x:c>
      <x:c r="Q355" s="20" t="str"/>
      <x:c r="R355" s="20" t="str"/>
      <x:c r="S355" s="26" t="str"/>
      <x:c r="T355" s="20" t="str">
        <x:v>Chạy thủ công trước</x:v>
      </x:c>
      <x:c r="U355" s="20" t="str">
        <x:v>Chạy cuối sprint và khi regression trước Sprint 8.</x:v>
      </x:c>
      <x:c r="V355" s="20" t="str">
        <x:v>S6-02,S6-04,S6-05,S6-06,S6-07,S6-08,S6-09</x:v>
      </x:c>
      <x:c r="W355" s="20" t="str">
        <x:v>E2E / UAT</x:v>
      </x:c>
    </x:row>
    <x:row r="356" ht="92" customHeight="1">
      <x:c r="A356" s="20" t="str">
        <x:v>E2E-07</x:v>
      </x:c>
      <x:c r="B356" s="20" t="n">
        <x:v>7</x:v>
      </x:c>
      <x:c r="C356" s="20" t="str">
        <x:v>E2E</x:v>
      </x:c>
      <x:c r="D356" s="20" t="str"/>
      <x:c r="E356" s="20" t="str">
        <x:v>Luồng tích hợp</x:v>
      </x:c>
      <x:c r="F356" s="20" t="str">
        <x:v>End-to-end</x:v>
      </x:c>
      <x:c r="G356" s="20" t="str">
        <x:v>Quyết định tuyển, offer, chấp nhận và onboarding</x:v>
      </x:c>
      <x:c r="H356" s="20" t="str">
        <x:v>E2E</x:v>
      </x:c>
      <x:c r="I356" s="20" t="str">
        <x:v>Critical</x:v>
      </x:c>
      <x:c r="J356" s="20" t="str">
        <x:v>QA / PO</x:v>
      </x:c>
      <x:c r="K356" s="20" t="str">
        <x:v>Tất cả story liên quan đã triển khai trên staging; email sandbox và dữ liệu pilot sẵn sàng.</x:v>
      </x:c>
      <x:c r="L356" s="20" t="str">
        <x:v>Offer 20 triệu VND; offer vượt dải 30 triệu; ngày nhận việc 2026-10-15</x:v>
      </x:c>
      <x:c r="M356" s="20" t="str">
        <x:v>HM quyết định tuyển
recruiter soạn offer ngoài dải
đi qua cấp duyệt cao
ứng viên chấp nhận
HR hoàn thành checklist</x:v>
      </x:c>
      <x:c r="N356" s="20" t="str">
        <x:v>Offer không gửi khi chưa duyệt; phản hồi cập nhật pipeline; checklist 100% chuyển Đã onboard</x:v>
      </x:c>
      <x:c r="O356" s="20" t="str"/>
      <x:c r="P356" s="20" t="str">
        <x:v>Chưa chạy</x:v>
      </x:c>
      <x:c r="Q356" s="20" t="str"/>
      <x:c r="R356" s="20" t="str"/>
      <x:c r="S356" s="26" t="str"/>
      <x:c r="T356" s="20" t="str">
        <x:v>Chạy thủ công trước</x:v>
      </x:c>
      <x:c r="U356" s="20" t="str">
        <x:v>Chạy cuối sprint và khi regression trước Sprint 8.</x:v>
      </x:c>
      <x:c r="V356" s="20" t="str">
        <x:v>S7-03,S7-04,S7-05,S7-06,S7-07,S7-08</x:v>
      </x:c>
      <x:c r="W356" s="20" t="str">
        <x:v>E2E / UAT</x:v>
      </x:c>
    </x:row>
    <x:row r="357" ht="92" customHeight="1">
      <x:c r="A357" s="20" t="str">
        <x:v>E2E-08</x:v>
      </x:c>
      <x:c r="B357" s="20" t="n">
        <x:v>8</x:v>
      </x:c>
      <x:c r="C357" s="20" t="str">
        <x:v>E2E</x:v>
      </x:c>
      <x:c r="D357" s="20" t="str"/>
      <x:c r="E357" s="20" t="str">
        <x:v>Luồng tích hợp</x:v>
      </x:c>
      <x:c r="F357" s="20" t="str">
        <x:v>End-to-end</x:v>
      </x:c>
      <x:c r="G357" s="20" t="str">
        <x:v>Thông báo, email tự động và số liệu tuyển dụng</x:v>
      </x:c>
      <x:c r="H357" s="20" t="str">
        <x:v>E2E</x:v>
      </x:c>
      <x:c r="I357" s="20" t="str">
        <x:v>Critical</x:v>
      </x:c>
      <x:c r="J357" s="20" t="str">
        <x:v>QA / PO</x:v>
      </x:c>
      <x:c r="K357" s="20" t="str">
        <x:v>Tất cả story liên quan đã triển khai trên staging; email sandbox và dữ liệu pilot sẵn sàng.</x:v>
      </x:c>
      <x:c r="L357" s="20" t="str">
        <x:v>Dữ liệu 12 tuần; 20 hồ sơ; SMTP sandbox; 3 phòng ban</x:v>
      </x:c>
      <x:c r="M357" s="20" t="str">
        <x:v>HR cấu hình email giai đoạn
chạy vị trí pilot từ REQ tới nhận việc
đọc mail/log/notification
so sánh dashboard/funnel/time-to-hire/nguồn</x:v>
      </x:c>
      <x:c r="N357" s="20" t="str">
        <x:v>Không thiếu thông báo bắt buộc; số liệu báo cáo khớp dữ liệu pilot, quyền dashboard tách theo vai trò</x:v>
      </x:c>
      <x:c r="O357" s="20" t="str"/>
      <x:c r="P357" s="20" t="str">
        <x:v>Chưa chạy</x:v>
      </x:c>
      <x:c r="Q357" s="20" t="str"/>
      <x:c r="R357" s="20" t="str"/>
      <x:c r="S357" s="26" t="str"/>
      <x:c r="T357" s="20" t="str">
        <x:v>Chạy thủ công trước</x:v>
      </x:c>
      <x:c r="U357" s="20" t="str">
        <x:v>Chạy cuối sprint và khi regression trước Sprint 8.</x:v>
      </x:c>
      <x:c r="V357" s="20" t="str">
        <x:v>S8-01,S8-02,S8-03,S8-05,S8-06,S8-07,S8-08,S8-09</x:v>
      </x:c>
      <x:c r="W357" s="20" t="str">
        <x:v>E2E / UAT</x:v>
      </x:c>
    </x:row>
  </x:sheetData>
  <x:mergeCells>
    <x:mergeCell ref="A1:M1"/>
    <x:mergeCell ref="A2:M2"/>
  </x:mergeCells>
  <x:conditionalFormatting sqref="I5:I357">
    <x:cfRule type="expression" dxfId="0" priority="1">
      <x:formula>I5="Critical"</x:formula>
    </x:cfRule>
  </x:conditionalFormatting>
  <x:conditionalFormatting sqref="P5:P357">
    <x:cfRule type="expression" dxfId="1" priority="2">
      <x:formula>P5="Pass"</x:formula>
    </x:cfRule>
    <x:cfRule type="expression" dxfId="2" priority="3">
      <x:formula>P5="Fail"</x:formula>
    </x:cfRule>
    <x:cfRule type="expression" dxfId="3" priority="4">
      <x:formula>P5="Blocked"</x:formula>
    </x:cfRule>
  </x:conditionalFormatting>
  <x:dataValidations count="3">
    <x:dataValidation type="list" sqref="P5:P357">
      <x:formula1>"Chưa chạy,Pass,Fail,Blocked,N/A"</x:formula1>
    </x:dataValidation>
    <x:dataValidation type="list" sqref="I5:I357">
      <x:formula1>"Critical,High,Medium,Low"</x:formula1>
    </x:dataValidation>
    <x:dataValidation type="list" sqref="T5:T357">
      <x:formula1>"Chưa đánh giá,Ưu tiên tự động hóa,Cân nhắc,Chạy thủ công trước,Đã tự động hóa"</x:formula1>
    </x:dataValidation>
  </x:dataValidations>
  <x:pageMargins left="0.7" right="0.7" top="0.75" bottom="0.75" header="0.3" footer="0.3"/>
  <x:tableParts count="1">
    <x:tablePart xmlns:r="http://schemas.openxmlformats.org/officeDocument/2006/relationships" r:id="R91e37e3086094c0b"/>
  </x:tableParts>
</x:worksheet>
</file>

<file path=xl/worksheets/sheet4.xml><?xml version="1.0" encoding="utf-8"?>
<x:worksheet xmlns:x="http://schemas.openxmlformats.org/spreadsheetml/2006/main">
  <x:sheetFormatPr defaultRowHeight="15"/>
  <x:cols>
    <x:col min="1" max="1" width="15" hidden="0" customWidth="1"/>
    <x:col min="2" max="2" width="9" hidden="0" customWidth="1"/>
    <x:col min="3" max="3" width="12" hidden="0" customWidth="1"/>
    <x:col min="4" max="4" width="28" hidden="0" customWidth="1"/>
    <x:col min="5" max="5" width="23" hidden="0" customWidth="1"/>
    <x:col min="6" max="6" width="13" hidden="0" customWidth="1"/>
    <x:col min="7" max="7" width="9" hidden="0" customWidth="1"/>
    <x:col min="8" max="8" width="75" hidden="0" customWidth="1"/>
    <x:col min="9" max="9" width="12" hidden="0" customWidth="1"/>
    <x:col min="10" max="10" width="12" hidden="0" customWidth="1"/>
    <x:col min="11" max="11" width="13" hidden="0" customWidth="1"/>
    <x:col min="12" max="12" width="14" hidden="0" customWidth="1"/>
    <x:col min="13" max="13" width="15" hidden="0" customWidth="1"/>
    <x:col min="14" max="14" width="20" hidden="0" customWidth="1"/>
    <x:col min="15" max="15" width="16" hidden="0" customWidth="1"/>
    <x:col min="16" max="16" width="20" hidden="0" customWidth="1"/>
  </x:cols>
  <x:sheetData>
    <x:row r="1" ht="36" customHeight="1">
      <x:c r="A1" s="6" t="str">
        <x:v>RTM | MAPPING USER STORY → ACCEPTANCE CRITERIA → TEST CASE</x:v>
      </x:c>
      <x:c r="B1" s="6"/>
      <x:c r="C1" s="6"/>
      <x:c r="D1" s="6"/>
      <x:c r="E1" s="6"/>
      <x:c r="F1" s="6"/>
      <x:c r="G1" s="6"/>
      <x:c r="H1" s="6"/>
      <x:c r="I1" s="6"/>
      <x:c r="J1" s="6"/>
      <x:c r="K1" s="6"/>
      <x:c r="L1" s="6"/>
      <x:c r="M1" s="6"/>
      <x:c r="N1" s="6"/>
      <x:c r="O1" s="6"/>
      <x:c r="P1" s="6"/>
    </x:row>
    <x:row r="2" ht="23" customHeight="1">
      <x:c r="A2" s="23" t="str">
        <x:v>Kiểm tra mức phủ tự động khi thêm hoặc sửa TC trong sheet 02_Test_Cases.</x:v>
      </x:c>
      <x:c r="B2" s="23"/>
      <x:c r="C2" s="23"/>
      <x:c r="D2" s="23"/>
      <x:c r="E2" s="23"/>
      <x:c r="F2" s="23"/>
      <x:c r="G2" s="23"/>
      <x:c r="H2" s="23"/>
      <x:c r="I2" s="23"/>
      <x:c r="J2" s="23"/>
      <x:c r="K2" s="23"/>
      <x:c r="L2" s="23"/>
      <x:c r="M2" s="23"/>
      <x:c r="N2" s="23"/>
      <x:c r="O2" s="23"/>
      <x:c r="P2" s="23"/>
    </x:row>
    <x:row r="4" ht="34" customHeight="1">
      <x:c r="A4" s="13" t="str">
        <x:v>Story ID</x:v>
      </x:c>
      <x:c r="B4" s="13" t="str">
        <x:v>Sprint</x:v>
      </x:c>
      <x:c r="C4" s="13" t="str">
        <x:v>Epic</x:v>
      </x:c>
      <x:c r="D4" s="13" t="str">
        <x:v>Module</x:v>
      </x:c>
      <x:c r="E4" s="13" t="str">
        <x:v>Vai trò</x:v>
      </x:c>
      <x:c r="F4" s="13" t="str">
        <x:v>MoSCoW</x:v>
      </x:c>
      <x:c r="G4" s="13" t="str">
        <x:v>Point</x:v>
      </x:c>
      <x:c r="H4" s="13" t="str">
        <x:v>Mục tiêu User Story</x:v>
      </x:c>
      <x:c r="I4" s="13" t="str">
        <x:v>Số AC gốc</x:v>
      </x:c>
      <x:c r="J4" s="13" t="str">
        <x:v>Dòng backlog</x:v>
      </x:c>
      <x:c r="K4" s="13" t="str">
        <x:v>Tổng TC</x:v>
      </x:c>
      <x:c r="L4" s="13" t="str">
        <x:v>TC bám AC</x:v>
      </x:c>
      <x:c r="M4" s="13" t="str">
        <x:v>TC bổ sung</x:v>
      </x:c>
      <x:c r="N4" s="13" t="str">
        <x:v>Mức phủ AC</x:v>
      </x:c>
      <x:c r="O4" s="13" t="str">
        <x:v>TC đã chạy</x:v>
      </x:c>
      <x:c r="P4" s="13" t="str">
        <x:v>Trạng thái thực thi</x:v>
      </x:c>
    </x:row>
    <x:row r="5" ht="44" customHeight="1">
      <x:c r="A5" s="18" t="str">
        <x:v>S1-01</x:v>
      </x:c>
      <x:c r="B5" s="18" t="n">
        <x:v>1</x:v>
      </x:c>
      <x:c r="C5" s="18" t="str">
        <x:v>EP-01</x:v>
      </x:c>
      <x:c r="D5" s="18" t="str">
        <x:v>Tài khoản &amp; Phân quyền</x:v>
      </x:c>
      <x:c r="E5" s="18" t="str">
        <x:v>nhân sự nội bộ</x:v>
      </x:c>
      <x:c r="F5" s="18" t="str">
        <x:v>Must</x:v>
      </x:c>
      <x:c r="G5" s="18" t="n">
        <x:v>5</x:v>
      </x:c>
      <x:c r="H5" s="18" t="str">
        <x:v>đăng nhập bằng email công ty và mật khẩu</x:v>
      </x:c>
      <x:c r="I5" s="18" t="n">
        <x:v>3</x:v>
      </x:c>
      <x:c r="J5" s="18" t="n">
        <x:v>7</x:v>
      </x:c>
      <x:c r="K5" s="18" t="n">
        <x:f>COUNTIF('02_Test_Cases'!$D$5:$D$357,A5)</x:f>
        <x:v>4</x:v>
      </x:c>
      <x:c r="L5" s="18" t="n">
        <x:f>COUNTIFS('02_Test_Cases'!$D$5:$D$357,A5,'02_Test_Cases'!$W$5:$W$357,"Backlog / AC")</x:f>
        <x:v>3</x:v>
      </x:c>
      <x:c r="M5" s="18" t="n">
        <x:f>COUNTIFS('02_Test_Cases'!$D$5:$D$357,A5,'02_Test_Cases'!$W$5:$W$357,"Bổ sung QA")</x:f>
        <x:v>1</x:v>
      </x:c>
      <x:c r="N5" s="18" t="str">
        <x:f>IF(L5&gt;=I5,"Đã phủ AC","Thiếu AC")</x:f>
        <x:v>Đã phủ AC</x:v>
      </x:c>
      <x:c r="O5" s="18" t="n">
        <x:f>COUNTIFS('02_Test_Cases'!$D$5:$D$357,A5,'02_Test_Cases'!$P$5:$P$357,"&lt;&gt;Chưa chạy",'02_Test_Cases'!$P$5:$P$357,"&lt;&gt;")</x:f>
        <x:v>0</x:v>
      </x:c>
      <x:c r="P5" s="18" t="str">
        <x:f>IF(O5=0,"Chưa chạy",IF(O5&lt;K5,"Đang chạy","Đã chạy hết"))</x:f>
        <x:v>Chưa chạy</x:v>
      </x:c>
    </x:row>
    <x:row r="6" ht="44" customHeight="1">
      <x:c r="A6" s="18" t="str">
        <x:v>S1-02</x:v>
      </x:c>
      <x:c r="B6" s="18" t="n">
        <x:v>1</x:v>
      </x:c>
      <x:c r="C6" s="18" t="str">
        <x:v>EP-01</x:v>
      </x:c>
      <x:c r="D6" s="18" t="str">
        <x:v>Tài khoản &amp; Phân quyền</x:v>
      </x:c>
      <x:c r="E6" s="18" t="str">
        <x:v>nhân sự nội bộ</x:v>
      </x:c>
      <x:c r="F6" s="18" t="str">
        <x:v>Must</x:v>
      </x:c>
      <x:c r="G6" s="18" t="n">
        <x:v>3</x:v>
      </x:c>
      <x:c r="H6" s="18" t="str">
        <x:v>duy trì phiên đăng nhập và đăng xuất an toàn</x:v>
      </x:c>
      <x:c r="I6" s="18" t="n">
        <x:v>3</x:v>
      </x:c>
      <x:c r="J6" s="18" t="n">
        <x:v>8</x:v>
      </x:c>
      <x:c r="K6" s="18" t="n">
        <x:f>COUNTIF('02_Test_Cases'!$D$5:$D$357,A6)</x:f>
        <x:v>4</x:v>
      </x:c>
      <x:c r="L6" s="18" t="n">
        <x:f>COUNTIFS('02_Test_Cases'!$D$5:$D$357,A6,'02_Test_Cases'!$W$5:$W$357,"Backlog / AC")</x:f>
        <x:v>3</x:v>
      </x:c>
      <x:c r="M6" s="18" t="n">
        <x:f>COUNTIFS('02_Test_Cases'!$D$5:$D$357,A6,'02_Test_Cases'!$W$5:$W$357,"Bổ sung QA")</x:f>
        <x:v>1</x:v>
      </x:c>
      <x:c r="N6" s="18" t="str">
        <x:f>IF(L6&gt;=I6,"Đã phủ AC","Thiếu AC")</x:f>
        <x:v>Đã phủ AC</x:v>
      </x:c>
      <x:c r="O6" s="18" t="n">
        <x:f>COUNTIFS('02_Test_Cases'!$D$5:$D$357,A6,'02_Test_Cases'!$P$5:$P$357,"&lt;&gt;Chưa chạy",'02_Test_Cases'!$P$5:$P$357,"&lt;&gt;")</x:f>
        <x:v>0</x:v>
      </x:c>
      <x:c r="P6" s="18" t="str">
        <x:f>IF(O6=0,"Chưa chạy",IF(O6&lt;K6,"Đang chạy","Đã chạy hết"))</x:f>
        <x:v>Chưa chạy</x:v>
      </x:c>
    </x:row>
    <x:row r="7" ht="44" customHeight="1">
      <x:c r="A7" s="18" t="str">
        <x:v>S1-03</x:v>
      </x:c>
      <x:c r="B7" s="18" t="n">
        <x:v>1</x:v>
      </x:c>
      <x:c r="C7" s="18" t="str">
        <x:v>EP-01</x:v>
      </x:c>
      <x:c r="D7" s="18" t="str">
        <x:v>Tài khoản &amp; Phân quyền</x:v>
      </x:c>
      <x:c r="E7" s="18" t="str">
        <x:v>nhân sự nội bộ</x:v>
      </x:c>
      <x:c r="F7" s="18" t="str">
        <x:v>Must</x:v>
      </x:c>
      <x:c r="G7" s="18" t="n">
        <x:v>5</x:v>
      </x:c>
      <x:c r="H7" s="18" t="str">
        <x:v>đặt lại mật khẩu khi quên thông qua email</x:v>
      </x:c>
      <x:c r="I7" s="18" t="n">
        <x:v>3</x:v>
      </x:c>
      <x:c r="J7" s="18" t="n">
        <x:v>9</x:v>
      </x:c>
      <x:c r="K7" s="18" t="n">
        <x:f>COUNTIF('02_Test_Cases'!$D$5:$D$357,A7)</x:f>
        <x:v>4</x:v>
      </x:c>
      <x:c r="L7" s="18" t="n">
        <x:f>COUNTIFS('02_Test_Cases'!$D$5:$D$357,A7,'02_Test_Cases'!$W$5:$W$357,"Backlog / AC")</x:f>
        <x:v>3</x:v>
      </x:c>
      <x:c r="M7" s="18" t="n">
        <x:f>COUNTIFS('02_Test_Cases'!$D$5:$D$357,A7,'02_Test_Cases'!$W$5:$W$357,"Bổ sung QA")</x:f>
        <x:v>1</x:v>
      </x:c>
      <x:c r="N7" s="18" t="str">
        <x:f>IF(L7&gt;=I7,"Đã phủ AC","Thiếu AC")</x:f>
        <x:v>Đã phủ AC</x:v>
      </x:c>
      <x:c r="O7" s="18" t="n">
        <x:f>COUNTIFS('02_Test_Cases'!$D$5:$D$357,A7,'02_Test_Cases'!$P$5:$P$357,"&lt;&gt;Chưa chạy",'02_Test_Cases'!$P$5:$P$357,"&lt;&gt;")</x:f>
        <x:v>0</x:v>
      </x:c>
      <x:c r="P7" s="18" t="str">
        <x:f>IF(O7=0,"Chưa chạy",IF(O7&lt;K7,"Đang chạy","Đã chạy hết"))</x:f>
        <x:v>Chưa chạy</x:v>
      </x:c>
    </x:row>
    <x:row r="8" ht="44" customHeight="1">
      <x:c r="A8" s="18" t="str">
        <x:v>S1-04</x:v>
      </x:c>
      <x:c r="B8" s="18" t="n">
        <x:v>1</x:v>
      </x:c>
      <x:c r="C8" s="18" t="str">
        <x:v>EP-01</x:v>
      </x:c>
      <x:c r="D8" s="18" t="str">
        <x:v>Tài khoản &amp; Phân quyền</x:v>
      </x:c>
      <x:c r="E8" s="18" t="str">
        <x:v>nhân sự nội bộ</x:v>
      </x:c>
      <x:c r="F8" s="18" t="str">
        <x:v>Must</x:v>
      </x:c>
      <x:c r="G8" s="18" t="n">
        <x:v>2</x:v>
      </x:c>
      <x:c r="H8" s="18" t="str">
        <x:v>đổi mật khẩu khi đang đăng nhập</x:v>
      </x:c>
      <x:c r="I8" s="18" t="n">
        <x:v>3</x:v>
      </x:c>
      <x:c r="J8" s="18" t="n">
        <x:v>10</x:v>
      </x:c>
      <x:c r="K8" s="18" t="n">
        <x:f>COUNTIF('02_Test_Cases'!$D$5:$D$357,A8)</x:f>
        <x:v>4</x:v>
      </x:c>
      <x:c r="L8" s="18" t="n">
        <x:f>COUNTIFS('02_Test_Cases'!$D$5:$D$357,A8,'02_Test_Cases'!$W$5:$W$357,"Backlog / AC")</x:f>
        <x:v>3</x:v>
      </x:c>
      <x:c r="M8" s="18" t="n">
        <x:f>COUNTIFS('02_Test_Cases'!$D$5:$D$357,A8,'02_Test_Cases'!$W$5:$W$357,"Bổ sung QA")</x:f>
        <x:v>1</x:v>
      </x:c>
      <x:c r="N8" s="18" t="str">
        <x:f>IF(L8&gt;=I8,"Đã phủ AC","Thiếu AC")</x:f>
        <x:v>Đã phủ AC</x:v>
      </x:c>
      <x:c r="O8" s="18" t="n">
        <x:f>COUNTIFS('02_Test_Cases'!$D$5:$D$357,A8,'02_Test_Cases'!$P$5:$P$357,"&lt;&gt;Chưa chạy",'02_Test_Cases'!$P$5:$P$357,"&lt;&gt;")</x:f>
        <x:v>0</x:v>
      </x:c>
      <x:c r="P8" s="18" t="str">
        <x:f>IF(O8=0,"Chưa chạy",IF(O8&lt;K8,"Đang chạy","Đã chạy hết"))</x:f>
        <x:v>Chưa chạy</x:v>
      </x:c>
    </x:row>
    <x:row r="9" ht="44" customHeight="1">
      <x:c r="A9" s="18" t="str">
        <x:v>S1-05</x:v>
      </x:c>
      <x:c r="B9" s="18" t="n">
        <x:v>1</x:v>
      </x:c>
      <x:c r="C9" s="18" t="str">
        <x:v>EP-01</x:v>
      </x:c>
      <x:c r="D9" s="18" t="str">
        <x:v>Tài khoản &amp; Phân quyền</x:v>
      </x:c>
      <x:c r="E9" s="18" t="str">
        <x:v>Quản trị hệ thống</x:v>
      </x:c>
      <x:c r="F9" s="18" t="str">
        <x:v>Must</x:v>
      </x:c>
      <x:c r="G9" s="18" t="n">
        <x:v>8</x:v>
      </x:c>
      <x:c r="H9" s="18" t="str">
        <x:v>phân quyền theo vai trò cho toàn hệ thống</x:v>
      </x:c>
      <x:c r="I9" s="18" t="n">
        <x:v>4</x:v>
      </x:c>
      <x:c r="J9" s="18" t="n">
        <x:v>11</x:v>
      </x:c>
      <x:c r="K9" s="18" t="n">
        <x:f>COUNTIF('02_Test_Cases'!$D$5:$D$357,A9)</x:f>
        <x:v>5</x:v>
      </x:c>
      <x:c r="L9" s="18" t="n">
        <x:f>COUNTIFS('02_Test_Cases'!$D$5:$D$357,A9,'02_Test_Cases'!$W$5:$W$357,"Backlog / AC")</x:f>
        <x:v>4</x:v>
      </x:c>
      <x:c r="M9" s="18" t="n">
        <x:f>COUNTIFS('02_Test_Cases'!$D$5:$D$357,A9,'02_Test_Cases'!$W$5:$W$357,"Bổ sung QA")</x:f>
        <x:v>1</x:v>
      </x:c>
      <x:c r="N9" s="18" t="str">
        <x:f>IF(L9&gt;=I9,"Đã phủ AC","Thiếu AC")</x:f>
        <x:v>Đã phủ AC</x:v>
      </x:c>
      <x:c r="O9" s="18" t="n">
        <x:f>COUNTIFS('02_Test_Cases'!$D$5:$D$357,A9,'02_Test_Cases'!$P$5:$P$357,"&lt;&gt;Chưa chạy",'02_Test_Cases'!$P$5:$P$357,"&lt;&gt;")</x:f>
        <x:v>0</x:v>
      </x:c>
      <x:c r="P9" s="18" t="str">
        <x:f>IF(O9=0,"Chưa chạy",IF(O9&lt;K9,"Đang chạy","Đã chạy hết"))</x:f>
        <x:v>Chưa chạy</x:v>
      </x:c>
    </x:row>
    <x:row r="10" ht="44" customHeight="1">
      <x:c r="A10" s="18" t="str">
        <x:v>S1-06</x:v>
      </x:c>
      <x:c r="B10" s="18" t="n">
        <x:v>1</x:v>
      </x:c>
      <x:c r="C10" s="18" t="str">
        <x:v>EP-01</x:v>
      </x:c>
      <x:c r="D10" s="18" t="str">
        <x:v>Tài khoản &amp; Phân quyền</x:v>
      </x:c>
      <x:c r="E10" s="18" t="str">
        <x:v>nhân sự nội bộ</x:v>
      </x:c>
      <x:c r="F10" s="18" t="str">
        <x:v>Must</x:v>
      </x:c>
      <x:c r="G10" s="18" t="n">
        <x:v>5</x:v>
      </x:c>
      <x:c r="H10" s="18" t="str">
        <x:v>thấy menu điều hướng đúng theo quyền của mình</x:v>
      </x:c>
      <x:c r="I10" s="18" t="n">
        <x:v>3</x:v>
      </x:c>
      <x:c r="J10" s="18" t="n">
        <x:v>12</x:v>
      </x:c>
      <x:c r="K10" s="18" t="n">
        <x:f>COUNTIF('02_Test_Cases'!$D$5:$D$357,A10)</x:f>
        <x:v>4</x:v>
      </x:c>
      <x:c r="L10" s="18" t="n">
        <x:f>COUNTIFS('02_Test_Cases'!$D$5:$D$357,A10,'02_Test_Cases'!$W$5:$W$357,"Backlog / AC")</x:f>
        <x:v>3</x:v>
      </x:c>
      <x:c r="M10" s="18" t="n">
        <x:f>COUNTIFS('02_Test_Cases'!$D$5:$D$357,A10,'02_Test_Cases'!$W$5:$W$357,"Bổ sung QA")</x:f>
        <x:v>1</x:v>
      </x:c>
      <x:c r="N10" s="18" t="str">
        <x:f>IF(L10&gt;=I10,"Đã phủ AC","Thiếu AC")</x:f>
        <x:v>Đã phủ AC</x:v>
      </x:c>
      <x:c r="O10" s="18" t="n">
        <x:f>COUNTIFS('02_Test_Cases'!$D$5:$D$357,A10,'02_Test_Cases'!$P$5:$P$357,"&lt;&gt;Chưa chạy",'02_Test_Cases'!$P$5:$P$357,"&lt;&gt;")</x:f>
        <x:v>0</x:v>
      </x:c>
      <x:c r="P10" s="18" t="str">
        <x:f>IF(O10=0,"Chưa chạy",IF(O10&lt;K10,"Đang chạy","Đã chạy hết"))</x:f>
        <x:v>Chưa chạy</x:v>
      </x:c>
    </x:row>
    <x:row r="11" ht="44" customHeight="1">
      <x:c r="A11" s="18" t="str">
        <x:v>S1-07</x:v>
      </x:c>
      <x:c r="B11" s="18" t="n">
        <x:v>1</x:v>
      </x:c>
      <x:c r="C11" s="18" t="str">
        <x:v>EP-01</x:v>
      </x:c>
      <x:c r="D11" s="18" t="str">
        <x:v>Tài khoản &amp; Phân quyền</x:v>
      </x:c>
      <x:c r="E11" s="18" t="str">
        <x:v>nhân sự nội bộ</x:v>
      </x:c>
      <x:c r="F11" s="18" t="str">
        <x:v>Should</x:v>
      </x:c>
      <x:c r="G11" s="18" t="n">
        <x:v>1</x:v>
      </x:c>
      <x:c r="H11" s="18" t="str">
        <x:v>nhận thông báo rõ ràng khi truy cập nhầm chỗ hoặc không đủ quyền</x:v>
      </x:c>
      <x:c r="I11" s="18" t="n">
        <x:v>2</x:v>
      </x:c>
      <x:c r="J11" s="18" t="n">
        <x:v>13</x:v>
      </x:c>
      <x:c r="K11" s="18" t="n">
        <x:f>COUNTIF('02_Test_Cases'!$D$5:$D$357,A11)</x:f>
        <x:v>3</x:v>
      </x:c>
      <x:c r="L11" s="18" t="n">
        <x:f>COUNTIFS('02_Test_Cases'!$D$5:$D$357,A11,'02_Test_Cases'!$W$5:$W$357,"Backlog / AC")</x:f>
        <x:v>2</x:v>
      </x:c>
      <x:c r="M11" s="18" t="n">
        <x:f>COUNTIFS('02_Test_Cases'!$D$5:$D$357,A11,'02_Test_Cases'!$W$5:$W$357,"Bổ sung QA")</x:f>
        <x:v>1</x:v>
      </x:c>
      <x:c r="N11" s="18" t="str">
        <x:f>IF(L11&gt;=I11,"Đã phủ AC","Thiếu AC")</x:f>
        <x:v>Đã phủ AC</x:v>
      </x:c>
      <x:c r="O11" s="18" t="n">
        <x:f>COUNTIFS('02_Test_Cases'!$D$5:$D$357,A11,'02_Test_Cases'!$P$5:$P$357,"&lt;&gt;Chưa chạy",'02_Test_Cases'!$P$5:$P$357,"&lt;&gt;")</x:f>
        <x:v>0</x:v>
      </x:c>
      <x:c r="P11" s="18" t="str">
        <x:f>IF(O11=0,"Chưa chạy",IF(O11&lt;K11,"Đang chạy","Đã chạy hết"))</x:f>
        <x:v>Chưa chạy</x:v>
      </x:c>
    </x:row>
    <x:row r="12" ht="44" customHeight="1">
      <x:c r="A12" s="18" t="str">
        <x:v>S1-08</x:v>
      </x:c>
      <x:c r="B12" s="18" t="n">
        <x:v>1</x:v>
      </x:c>
      <x:c r="C12" s="18" t="str">
        <x:v>EP-01</x:v>
      </x:c>
      <x:c r="D12" s="18" t="str">
        <x:v>Tài khoản &amp; Phân quyền</x:v>
      </x:c>
      <x:c r="E12" s="18" t="str">
        <x:v>Quản trị hệ thống</x:v>
      </x:c>
      <x:c r="F12" s="18" t="str">
        <x:v>Must</x:v>
      </x:c>
      <x:c r="G12" s="18" t="n">
        <x:v>8</x:v>
      </x:c>
      <x:c r="H12" s="18" t="str">
        <x:v>tạo, sửa và tìm kiếm tài khoản nội bộ</x:v>
      </x:c>
      <x:c r="I12" s="18" t="n">
        <x:v>4</x:v>
      </x:c>
      <x:c r="J12" s="18" t="n">
        <x:v>14</x:v>
      </x:c>
      <x:c r="K12" s="18" t="n">
        <x:f>COUNTIF('02_Test_Cases'!$D$5:$D$357,A12)</x:f>
        <x:v>5</x:v>
      </x:c>
      <x:c r="L12" s="18" t="n">
        <x:f>COUNTIFS('02_Test_Cases'!$D$5:$D$357,A12,'02_Test_Cases'!$W$5:$W$357,"Backlog / AC")</x:f>
        <x:v>4</x:v>
      </x:c>
      <x:c r="M12" s="18" t="n">
        <x:f>COUNTIFS('02_Test_Cases'!$D$5:$D$357,A12,'02_Test_Cases'!$W$5:$W$357,"Bổ sung QA")</x:f>
        <x:v>1</x:v>
      </x:c>
      <x:c r="N12" s="18" t="str">
        <x:f>IF(L12&gt;=I12,"Đã phủ AC","Thiếu AC")</x:f>
        <x:v>Đã phủ AC</x:v>
      </x:c>
      <x:c r="O12" s="18" t="n">
        <x:f>COUNTIFS('02_Test_Cases'!$D$5:$D$357,A12,'02_Test_Cases'!$P$5:$P$357,"&lt;&gt;Chưa chạy",'02_Test_Cases'!$P$5:$P$357,"&lt;&gt;")</x:f>
        <x:v>0</x:v>
      </x:c>
      <x:c r="P12" s="18" t="str">
        <x:f>IF(O12=0,"Chưa chạy",IF(O12&lt;K12,"Đang chạy","Đã chạy hết"))</x:f>
        <x:v>Chưa chạy</x:v>
      </x:c>
    </x:row>
    <x:row r="13" ht="44" customHeight="1">
      <x:c r="A13" s="18" t="str">
        <x:v>S1-09</x:v>
      </x:c>
      <x:c r="B13" s="18" t="n">
        <x:v>1</x:v>
      </x:c>
      <x:c r="C13" s="18" t="str">
        <x:v>EP-01</x:v>
      </x:c>
      <x:c r="D13" s="18" t="str">
        <x:v>Tài khoản &amp; Phân quyền</x:v>
      </x:c>
      <x:c r="E13" s="18" t="str">
        <x:v>Quản trị hệ thống</x:v>
      </x:c>
      <x:c r="F13" s="18" t="str">
        <x:v>Must</x:v>
      </x:c>
      <x:c r="G13" s="18" t="n">
        <x:v>3</x:v>
      </x:c>
      <x:c r="H13" s="18" t="str">
        <x:v>gán và thu hồi vai trò cho một người dùng</x:v>
      </x:c>
      <x:c r="I13" s="18" t="n">
        <x:v>3</x:v>
      </x:c>
      <x:c r="J13" s="18" t="n">
        <x:v>15</x:v>
      </x:c>
      <x:c r="K13" s="18" t="n">
        <x:f>COUNTIF('02_Test_Cases'!$D$5:$D$357,A13)</x:f>
        <x:v>4</x:v>
      </x:c>
      <x:c r="L13" s="18" t="n">
        <x:f>COUNTIFS('02_Test_Cases'!$D$5:$D$357,A13,'02_Test_Cases'!$W$5:$W$357,"Backlog / AC")</x:f>
        <x:v>3</x:v>
      </x:c>
      <x:c r="M13" s="18" t="n">
        <x:f>COUNTIFS('02_Test_Cases'!$D$5:$D$357,A13,'02_Test_Cases'!$W$5:$W$357,"Bổ sung QA")</x:f>
        <x:v>1</x:v>
      </x:c>
      <x:c r="N13" s="18" t="str">
        <x:f>IF(L13&gt;=I13,"Đã phủ AC","Thiếu AC")</x:f>
        <x:v>Đã phủ AC</x:v>
      </x:c>
      <x:c r="O13" s="18" t="n">
        <x:f>COUNTIFS('02_Test_Cases'!$D$5:$D$357,A13,'02_Test_Cases'!$P$5:$P$357,"&lt;&gt;Chưa chạy",'02_Test_Cases'!$P$5:$P$357,"&lt;&gt;")</x:f>
        <x:v>0</x:v>
      </x:c>
      <x:c r="P13" s="18" t="str">
        <x:f>IF(O13=0,"Chưa chạy",IF(O13&lt;K13,"Đang chạy","Đã chạy hết"))</x:f>
        <x:v>Chưa chạy</x:v>
      </x:c>
    </x:row>
    <x:row r="14" ht="44" customHeight="1">
      <x:c r="A14" s="18" t="str">
        <x:v>S1-10</x:v>
      </x:c>
      <x:c r="B14" s="18" t="n">
        <x:v>1</x:v>
      </x:c>
      <x:c r="C14" s="18" t="str">
        <x:v>EP-01</x:v>
      </x:c>
      <x:c r="D14" s="18" t="str">
        <x:v>Tài khoản &amp; Phân quyền</x:v>
      </x:c>
      <x:c r="E14" s="18" t="str">
        <x:v>Quản trị hệ thống</x:v>
      </x:c>
      <x:c r="F14" s="18" t="str">
        <x:v>Must</x:v>
      </x:c>
      <x:c r="G14" s="18" t="n">
        <x:v>2</x:v>
      </x:c>
      <x:c r="H14" s="18" t="str">
        <x:v>khoá và mở khoá tài khoản</x:v>
      </x:c>
      <x:c r="I14" s="18" t="n">
        <x:v>3</x:v>
      </x:c>
      <x:c r="J14" s="18" t="n">
        <x:v>16</x:v>
      </x:c>
      <x:c r="K14" s="18" t="n">
        <x:f>COUNTIF('02_Test_Cases'!$D$5:$D$357,A14)</x:f>
        <x:v>4</x:v>
      </x:c>
      <x:c r="L14" s="18" t="n">
        <x:f>COUNTIFS('02_Test_Cases'!$D$5:$D$357,A14,'02_Test_Cases'!$W$5:$W$357,"Backlog / AC")</x:f>
        <x:v>3</x:v>
      </x:c>
      <x:c r="M14" s="18" t="n">
        <x:f>COUNTIFS('02_Test_Cases'!$D$5:$D$357,A14,'02_Test_Cases'!$W$5:$W$357,"Bổ sung QA")</x:f>
        <x:v>1</x:v>
      </x:c>
      <x:c r="N14" s="18" t="str">
        <x:f>IF(L14&gt;=I14,"Đã phủ AC","Thiếu AC")</x:f>
        <x:v>Đã phủ AC</x:v>
      </x:c>
      <x:c r="O14" s="18" t="n">
        <x:f>COUNTIFS('02_Test_Cases'!$D$5:$D$357,A14,'02_Test_Cases'!$P$5:$P$357,"&lt;&gt;Chưa chạy",'02_Test_Cases'!$P$5:$P$357,"&lt;&gt;")</x:f>
        <x:v>0</x:v>
      </x:c>
      <x:c r="P14" s="18" t="str">
        <x:f>IF(O14=0,"Chưa chạy",IF(O14&lt;K14,"Đang chạy","Đã chạy hết"))</x:f>
        <x:v>Chưa chạy</x:v>
      </x:c>
    </x:row>
    <x:row r="15" ht="44" customHeight="1">
      <x:c r="A15" s="18" t="str">
        <x:v>S2-01</x:v>
      </x:c>
      <x:c r="B15" s="18" t="n">
        <x:v>2</x:v>
      </x:c>
      <x:c r="C15" s="18" t="str">
        <x:v>EP-01</x:v>
      </x:c>
      <x:c r="D15" s="18" t="str">
        <x:v>Tài khoản &amp; Phân quyền</x:v>
      </x:c>
      <x:c r="E15" s="18" t="str">
        <x:v>Quản trị hệ thống</x:v>
      </x:c>
      <x:c r="F15" s="18" t="str">
        <x:v>Should</x:v>
      </x:c>
      <x:c r="G15" s="18" t="n">
        <x:v>5</x:v>
      </x:c>
      <x:c r="H15" s="18" t="str">
        <x:v>nhập danh sách nhân sự hàng loạt từ tệp Excel</x:v>
      </x:c>
      <x:c r="I15" s="18" t="n">
        <x:v>3</x:v>
      </x:c>
      <x:c r="J15" s="18" t="n">
        <x:v>19</x:v>
      </x:c>
      <x:c r="K15" s="18" t="n">
        <x:f>COUNTIF('02_Test_Cases'!$D$5:$D$357,A15)</x:f>
        <x:v>4</x:v>
      </x:c>
      <x:c r="L15" s="18" t="n">
        <x:f>COUNTIFS('02_Test_Cases'!$D$5:$D$357,A15,'02_Test_Cases'!$W$5:$W$357,"Backlog / AC")</x:f>
        <x:v>3</x:v>
      </x:c>
      <x:c r="M15" s="18" t="n">
        <x:f>COUNTIFS('02_Test_Cases'!$D$5:$D$357,A15,'02_Test_Cases'!$W$5:$W$357,"Bổ sung QA")</x:f>
        <x:v>1</x:v>
      </x:c>
      <x:c r="N15" s="18" t="str">
        <x:f>IF(L15&gt;=I15,"Đã phủ AC","Thiếu AC")</x:f>
        <x:v>Đã phủ AC</x:v>
      </x:c>
      <x:c r="O15" s="18" t="n">
        <x:f>COUNTIFS('02_Test_Cases'!$D$5:$D$357,A15,'02_Test_Cases'!$P$5:$P$357,"&lt;&gt;Chưa chạy",'02_Test_Cases'!$P$5:$P$357,"&lt;&gt;")</x:f>
        <x:v>0</x:v>
      </x:c>
      <x:c r="P15" s="18" t="str">
        <x:f>IF(O15=0,"Chưa chạy",IF(O15&lt;K15,"Đang chạy","Đã chạy hết"))</x:f>
        <x:v>Chưa chạy</x:v>
      </x:c>
    </x:row>
    <x:row r="16" ht="44" customHeight="1">
      <x:c r="A16" s="18" t="str">
        <x:v>S2-02</x:v>
      </x:c>
      <x:c r="B16" s="18" t="n">
        <x:v>2</x:v>
      </x:c>
      <x:c r="C16" s="18" t="str">
        <x:v>EP-01</x:v>
      </x:c>
      <x:c r="D16" s="18" t="str">
        <x:v>Tài khoản &amp; Phân quyền</x:v>
      </x:c>
      <x:c r="E16" s="18" t="str">
        <x:v>nhân sự nội bộ</x:v>
      </x:c>
      <x:c r="F16" s="18" t="str">
        <x:v>Must</x:v>
      </x:c>
      <x:c r="G16" s="18" t="n">
        <x:v>3</x:v>
      </x:c>
      <x:c r="H16" s="18" t="str">
        <x:v>xem và cập nhật hồ sơ cá nhân</x:v>
      </x:c>
      <x:c r="I16" s="18" t="n">
        <x:v>3</x:v>
      </x:c>
      <x:c r="J16" s="18" t="n">
        <x:v>20</x:v>
      </x:c>
      <x:c r="K16" s="18" t="n">
        <x:f>COUNTIF('02_Test_Cases'!$D$5:$D$357,A16)</x:f>
        <x:v>4</x:v>
      </x:c>
      <x:c r="L16" s="18" t="n">
        <x:f>COUNTIFS('02_Test_Cases'!$D$5:$D$357,A16,'02_Test_Cases'!$W$5:$W$357,"Backlog / AC")</x:f>
        <x:v>3</x:v>
      </x:c>
      <x:c r="M16" s="18" t="n">
        <x:f>COUNTIFS('02_Test_Cases'!$D$5:$D$357,A16,'02_Test_Cases'!$W$5:$W$357,"Bổ sung QA")</x:f>
        <x:v>1</x:v>
      </x:c>
      <x:c r="N16" s="18" t="str">
        <x:f>IF(L16&gt;=I16,"Đã phủ AC","Thiếu AC")</x:f>
        <x:v>Đã phủ AC</x:v>
      </x:c>
      <x:c r="O16" s="18" t="n">
        <x:f>COUNTIFS('02_Test_Cases'!$D$5:$D$357,A16,'02_Test_Cases'!$P$5:$P$357,"&lt;&gt;Chưa chạy",'02_Test_Cases'!$P$5:$P$357,"&lt;&gt;")</x:f>
        <x:v>0</x:v>
      </x:c>
      <x:c r="P16" s="18" t="str">
        <x:f>IF(O16=0,"Chưa chạy",IF(O16&lt;K16,"Đang chạy","Đã chạy hết"))</x:f>
        <x:v>Chưa chạy</x:v>
      </x:c>
    </x:row>
    <x:row r="17" ht="44" customHeight="1">
      <x:c r="A17" s="18" t="str">
        <x:v>S2-03</x:v>
      </x:c>
      <x:c r="B17" s="18" t="n">
        <x:v>2</x:v>
      </x:c>
      <x:c r="C17" s="18" t="str">
        <x:v>EP-01</x:v>
      </x:c>
      <x:c r="D17" s="18" t="str">
        <x:v>Tài khoản &amp; Phân quyền</x:v>
      </x:c>
      <x:c r="E17" s="18" t="str">
        <x:v>nhân sự nội bộ</x:v>
      </x:c>
      <x:c r="F17" s="18" t="str">
        <x:v>Could</x:v>
      </x:c>
      <x:c r="G17" s="18" t="n">
        <x:v>2</x:v>
      </x:c>
      <x:c r="H17" s="18" t="str">
        <x:v>tải lên ảnh đại diện</x:v>
      </x:c>
      <x:c r="I17" s="18" t="n">
        <x:v>2</x:v>
      </x:c>
      <x:c r="J17" s="18" t="n">
        <x:v>21</x:v>
      </x:c>
      <x:c r="K17" s="18" t="n">
        <x:f>COUNTIF('02_Test_Cases'!$D$5:$D$357,A17)</x:f>
        <x:v>3</x:v>
      </x:c>
      <x:c r="L17" s="18" t="n">
        <x:f>COUNTIFS('02_Test_Cases'!$D$5:$D$357,A17,'02_Test_Cases'!$W$5:$W$357,"Backlog / AC")</x:f>
        <x:v>2</x:v>
      </x:c>
      <x:c r="M17" s="18" t="n">
        <x:f>COUNTIFS('02_Test_Cases'!$D$5:$D$357,A17,'02_Test_Cases'!$W$5:$W$357,"Bổ sung QA")</x:f>
        <x:v>1</x:v>
      </x:c>
      <x:c r="N17" s="18" t="str">
        <x:f>IF(L17&gt;=I17,"Đã phủ AC","Thiếu AC")</x:f>
        <x:v>Đã phủ AC</x:v>
      </x:c>
      <x:c r="O17" s="18" t="n">
        <x:f>COUNTIFS('02_Test_Cases'!$D$5:$D$357,A17,'02_Test_Cases'!$P$5:$P$357,"&lt;&gt;Chưa chạy",'02_Test_Cases'!$P$5:$P$357,"&lt;&gt;")</x:f>
        <x:v>0</x:v>
      </x:c>
      <x:c r="P17" s="18" t="str">
        <x:f>IF(O17=0,"Chưa chạy",IF(O17&lt;K17,"Đang chạy","Đã chạy hết"))</x:f>
        <x:v>Chưa chạy</x:v>
      </x:c>
    </x:row>
    <x:row r="18" ht="44" customHeight="1">
      <x:c r="A18" s="18" t="str">
        <x:v>S2-04</x:v>
      </x:c>
      <x:c r="B18" s="18" t="n">
        <x:v>2</x:v>
      </x:c>
      <x:c r="C18" s="18" t="str">
        <x:v>EP-02</x:v>
      </x:c>
      <x:c r="D18" s="18" t="str">
        <x:v>Danh mục tổ chức</x:v>
      </x:c>
      <x:c r="E18" s="18" t="str">
        <x:v>Trưởng phòng Nhân sự</x:v>
      </x:c>
      <x:c r="F18" s="18" t="str">
        <x:v>Must</x:v>
      </x:c>
      <x:c r="G18" s="18" t="n">
        <x:v>5</x:v>
      </x:c>
      <x:c r="H18" s="18" t="str">
        <x:v>khai báo phòng ban và sơ đồ tổ chức</x:v>
      </x:c>
      <x:c r="I18" s="18" t="n">
        <x:v>3</x:v>
      </x:c>
      <x:c r="J18" s="18" t="n">
        <x:v>22</x:v>
      </x:c>
      <x:c r="K18" s="18" t="n">
        <x:f>COUNTIF('02_Test_Cases'!$D$5:$D$357,A18)</x:f>
        <x:v>4</x:v>
      </x:c>
      <x:c r="L18" s="18" t="n">
        <x:f>COUNTIFS('02_Test_Cases'!$D$5:$D$357,A18,'02_Test_Cases'!$W$5:$W$357,"Backlog / AC")</x:f>
        <x:v>3</x:v>
      </x:c>
      <x:c r="M18" s="18" t="n">
        <x:f>COUNTIFS('02_Test_Cases'!$D$5:$D$357,A18,'02_Test_Cases'!$W$5:$W$357,"Bổ sung QA")</x:f>
        <x:v>1</x:v>
      </x:c>
      <x:c r="N18" s="18" t="str">
        <x:f>IF(L18&gt;=I18,"Đã phủ AC","Thiếu AC")</x:f>
        <x:v>Đã phủ AC</x:v>
      </x:c>
      <x:c r="O18" s="18" t="n">
        <x:f>COUNTIFS('02_Test_Cases'!$D$5:$D$357,A18,'02_Test_Cases'!$P$5:$P$357,"&lt;&gt;Chưa chạy",'02_Test_Cases'!$P$5:$P$357,"&lt;&gt;")</x:f>
        <x:v>0</x:v>
      </x:c>
      <x:c r="P18" s="18" t="str">
        <x:f>IF(O18=0,"Chưa chạy",IF(O18&lt;K18,"Đang chạy","Đã chạy hết"))</x:f>
        <x:v>Chưa chạy</x:v>
      </x:c>
    </x:row>
    <x:row r="19" ht="44" customHeight="1">
      <x:c r="A19" s="18" t="str">
        <x:v>S2-05</x:v>
      </x:c>
      <x:c r="B19" s="18" t="n">
        <x:v>2</x:v>
      </x:c>
      <x:c r="C19" s="18" t="str">
        <x:v>EP-02</x:v>
      </x:c>
      <x:c r="D19" s="18" t="str">
        <x:v>Danh mục tổ chức</x:v>
      </x:c>
      <x:c r="E19" s="18" t="str">
        <x:v>Trưởng phòng Nhân sự</x:v>
      </x:c>
      <x:c r="F19" s="18" t="str">
        <x:v>Must</x:v>
      </x:c>
      <x:c r="G19" s="18" t="n">
        <x:v>5</x:v>
      </x:c>
      <x:c r="H19" s="18" t="str">
        <x:v>khai báo danh mục chức danh và dải lương</x:v>
      </x:c>
      <x:c r="I19" s="18" t="n">
        <x:v>3</x:v>
      </x:c>
      <x:c r="J19" s="18" t="n">
        <x:v>23</x:v>
      </x:c>
      <x:c r="K19" s="18" t="n">
        <x:f>COUNTIF('02_Test_Cases'!$D$5:$D$357,A19)</x:f>
        <x:v>4</x:v>
      </x:c>
      <x:c r="L19" s="18" t="n">
        <x:f>COUNTIFS('02_Test_Cases'!$D$5:$D$357,A19,'02_Test_Cases'!$W$5:$W$357,"Backlog / AC")</x:f>
        <x:v>3</x:v>
      </x:c>
      <x:c r="M19" s="18" t="n">
        <x:f>COUNTIFS('02_Test_Cases'!$D$5:$D$357,A19,'02_Test_Cases'!$W$5:$W$357,"Bổ sung QA")</x:f>
        <x:v>1</x:v>
      </x:c>
      <x:c r="N19" s="18" t="str">
        <x:f>IF(L19&gt;=I19,"Đã phủ AC","Thiếu AC")</x:f>
        <x:v>Đã phủ AC</x:v>
      </x:c>
      <x:c r="O19" s="18" t="n">
        <x:f>COUNTIFS('02_Test_Cases'!$D$5:$D$357,A19,'02_Test_Cases'!$P$5:$P$357,"&lt;&gt;Chưa chạy",'02_Test_Cases'!$P$5:$P$357,"&lt;&gt;")</x:f>
        <x:v>0</x:v>
      </x:c>
      <x:c r="P19" s="18" t="str">
        <x:f>IF(O19=0,"Chưa chạy",IF(O19&lt;K19,"Đang chạy","Đã chạy hết"))</x:f>
        <x:v>Chưa chạy</x:v>
      </x:c>
    </x:row>
    <x:row r="20" ht="44" customHeight="1">
      <x:c r="A20" s="18" t="str">
        <x:v>S2-06</x:v>
      </x:c>
      <x:c r="B20" s="18" t="n">
        <x:v>2</x:v>
      </x:c>
      <x:c r="C20" s="18" t="str">
        <x:v>EP-02</x:v>
      </x:c>
      <x:c r="D20" s="18" t="str">
        <x:v>Danh mục tổ chức</x:v>
      </x:c>
      <x:c r="E20" s="18" t="str">
        <x:v>Trưởng phòng Nhân sự</x:v>
      </x:c>
      <x:c r="F20" s="18" t="str">
        <x:v>Must</x:v>
      </x:c>
      <x:c r="G20" s="18" t="n">
        <x:v>5</x:v>
      </x:c>
      <x:c r="H20" s="18" t="str">
        <x:v>khai báo khung năng lực cho từng chức danh</x:v>
      </x:c>
      <x:c r="I20" s="18" t="n">
        <x:v>4</x:v>
      </x:c>
      <x:c r="J20" s="18" t="n">
        <x:v>24</x:v>
      </x:c>
      <x:c r="K20" s="18" t="n">
        <x:f>COUNTIF('02_Test_Cases'!$D$5:$D$357,A20)</x:f>
        <x:v>5</x:v>
      </x:c>
      <x:c r="L20" s="18" t="n">
        <x:f>COUNTIFS('02_Test_Cases'!$D$5:$D$357,A20,'02_Test_Cases'!$W$5:$W$357,"Backlog / AC")</x:f>
        <x:v>4</x:v>
      </x:c>
      <x:c r="M20" s="18" t="n">
        <x:f>COUNTIFS('02_Test_Cases'!$D$5:$D$357,A20,'02_Test_Cases'!$W$5:$W$357,"Bổ sung QA")</x:f>
        <x:v>1</x:v>
      </x:c>
      <x:c r="N20" s="18" t="str">
        <x:f>IF(L20&gt;=I20,"Đã phủ AC","Thiếu AC")</x:f>
        <x:v>Đã phủ AC</x:v>
      </x:c>
      <x:c r="O20" s="18" t="n">
        <x:f>COUNTIFS('02_Test_Cases'!$D$5:$D$357,A20,'02_Test_Cases'!$P$5:$P$357,"&lt;&gt;Chưa chạy",'02_Test_Cases'!$P$5:$P$357,"&lt;&gt;")</x:f>
        <x:v>0</x:v>
      </x:c>
      <x:c r="P20" s="18" t="str">
        <x:f>IF(O20=0,"Chưa chạy",IF(O20&lt;K20,"Đang chạy","Đã chạy hết"))</x:f>
        <x:v>Chưa chạy</x:v>
      </x:c>
    </x:row>
    <x:row r="21" ht="44" customHeight="1">
      <x:c r="A21" s="18" t="str">
        <x:v>S2-07</x:v>
      </x:c>
      <x:c r="B21" s="18" t="n">
        <x:v>2</x:v>
      </x:c>
      <x:c r="C21" s="18" t="str">
        <x:v>EP-02</x:v>
      </x:c>
      <x:c r="D21" s="18" t="str">
        <x:v>Danh mục tổ chức</x:v>
      </x:c>
      <x:c r="E21" s="18" t="str">
        <x:v>Trưởng phòng Nhân sự</x:v>
      </x:c>
      <x:c r="F21" s="18" t="str">
        <x:v>Should</x:v>
      </x:c>
      <x:c r="G21" s="18" t="n">
        <x:v>5</x:v>
      </x:c>
      <x:c r="H21" s="18" t="str">
        <x:v>quản lý ngân hàng câu hỏi phỏng vấn theo khung năng lực</x:v>
      </x:c>
      <x:c r="I21" s="18" t="n">
        <x:v>3</x:v>
      </x:c>
      <x:c r="J21" s="18" t="n">
        <x:v>25</x:v>
      </x:c>
      <x:c r="K21" s="18" t="n">
        <x:f>COUNTIF('02_Test_Cases'!$D$5:$D$357,A21)</x:f>
        <x:v>4</x:v>
      </x:c>
      <x:c r="L21" s="18" t="n">
        <x:f>COUNTIFS('02_Test_Cases'!$D$5:$D$357,A21,'02_Test_Cases'!$W$5:$W$357,"Backlog / AC")</x:f>
        <x:v>3</x:v>
      </x:c>
      <x:c r="M21" s="18" t="n">
        <x:f>COUNTIFS('02_Test_Cases'!$D$5:$D$357,A21,'02_Test_Cases'!$W$5:$W$357,"Bổ sung QA")</x:f>
        <x:v>1</x:v>
      </x:c>
      <x:c r="N21" s="18" t="str">
        <x:f>IF(L21&gt;=I21,"Đã phủ AC","Thiếu AC")</x:f>
        <x:v>Đã phủ AC</x:v>
      </x:c>
      <x:c r="O21" s="18" t="n">
        <x:f>COUNTIFS('02_Test_Cases'!$D$5:$D$357,A21,'02_Test_Cases'!$P$5:$P$357,"&lt;&gt;Chưa chạy",'02_Test_Cases'!$P$5:$P$357,"&lt;&gt;")</x:f>
        <x:v>0</x:v>
      </x:c>
      <x:c r="P21" s="18" t="str">
        <x:f>IF(O21=0,"Chưa chạy",IF(O21&lt;K21,"Đang chạy","Đã chạy hết"))</x:f>
        <x:v>Chưa chạy</x:v>
      </x:c>
    </x:row>
    <x:row r="22" ht="44" customHeight="1">
      <x:c r="A22" s="18" t="str">
        <x:v>S2-08</x:v>
      </x:c>
      <x:c r="B22" s="18" t="n">
        <x:v>2</x:v>
      </x:c>
      <x:c r="C22" s="18" t="str">
        <x:v>EP-02</x:v>
      </x:c>
      <x:c r="D22" s="18" t="str">
        <x:v>Danh mục tổ chức</x:v>
      </x:c>
      <x:c r="E22" s="18" t="str">
        <x:v>Trưởng phòng Nhân sự</x:v>
      </x:c>
      <x:c r="F22" s="18" t="str">
        <x:v>Must</x:v>
      </x:c>
      <x:c r="G22" s="18" t="n">
        <x:v>5</x:v>
      </x:c>
      <x:c r="H22" s="18" t="str">
        <x:v>khai báo các danh mục dùng chung của tuyển dụng</x:v>
      </x:c>
      <x:c r="I22" s="18" t="n">
        <x:v>3</x:v>
      </x:c>
      <x:c r="J22" s="18" t="n">
        <x:v>26</x:v>
      </x:c>
      <x:c r="K22" s="18" t="n">
        <x:f>COUNTIF('02_Test_Cases'!$D$5:$D$357,A22)</x:f>
        <x:v>4</x:v>
      </x:c>
      <x:c r="L22" s="18" t="n">
        <x:f>COUNTIFS('02_Test_Cases'!$D$5:$D$357,A22,'02_Test_Cases'!$W$5:$W$357,"Backlog / AC")</x:f>
        <x:v>3</x:v>
      </x:c>
      <x:c r="M22" s="18" t="n">
        <x:f>COUNTIFS('02_Test_Cases'!$D$5:$D$357,A22,'02_Test_Cases'!$W$5:$W$357,"Bổ sung QA")</x:f>
        <x:v>1</x:v>
      </x:c>
      <x:c r="N22" s="18" t="str">
        <x:f>IF(L22&gt;=I22,"Đã phủ AC","Thiếu AC")</x:f>
        <x:v>Đã phủ AC</x:v>
      </x:c>
      <x:c r="O22" s="18" t="n">
        <x:f>COUNTIFS('02_Test_Cases'!$D$5:$D$357,A22,'02_Test_Cases'!$P$5:$P$357,"&lt;&gt;Chưa chạy",'02_Test_Cases'!$P$5:$P$357,"&lt;&gt;")</x:f>
        <x:v>0</x:v>
      </x:c>
      <x:c r="P22" s="18" t="str">
        <x:f>IF(O22=0,"Chưa chạy",IF(O22&lt;K22,"Đang chạy","Đã chạy hết"))</x:f>
        <x:v>Chưa chạy</x:v>
      </x:c>
    </x:row>
    <x:row r="23" ht="44" customHeight="1">
      <x:c r="A23" s="18" t="str">
        <x:v>S2-09</x:v>
      </x:c>
      <x:c r="B23" s="18" t="n">
        <x:v>2</x:v>
      </x:c>
      <x:c r="C23" s="18" t="str">
        <x:v>EP-04</x:v>
      </x:c>
      <x:c r="D23" s="18" t="str">
        <x:v>Đăng tin &amp; Ứng tuyển</x:v>
      </x:c>
      <x:c r="E23" s="18" t="str">
        <x:v>Trưởng phòng Nhân sự</x:v>
      </x:c>
      <x:c r="F23" s="18" t="str">
        <x:v>Could</x:v>
      </x:c>
      <x:c r="G23" s="18" t="n">
        <x:v>2</x:v>
      </x:c>
      <x:c r="H23" s="18" t="str">
        <x:v>cấu hình trang giới thiệu công ty trên cổng tuyển dụng</x:v>
      </x:c>
      <x:c r="I23" s="18" t="n">
        <x:v>2</x:v>
      </x:c>
      <x:c r="J23" s="18" t="n">
        <x:v>27</x:v>
      </x:c>
      <x:c r="K23" s="18" t="n">
        <x:f>COUNTIF('02_Test_Cases'!$D$5:$D$357,A23)</x:f>
        <x:v>3</x:v>
      </x:c>
      <x:c r="L23" s="18" t="n">
        <x:f>COUNTIFS('02_Test_Cases'!$D$5:$D$357,A23,'02_Test_Cases'!$W$5:$W$357,"Backlog / AC")</x:f>
        <x:v>2</x:v>
      </x:c>
      <x:c r="M23" s="18" t="n">
        <x:f>COUNTIFS('02_Test_Cases'!$D$5:$D$357,A23,'02_Test_Cases'!$W$5:$W$357,"Bổ sung QA")</x:f>
        <x:v>1</x:v>
      </x:c>
      <x:c r="N23" s="18" t="str">
        <x:f>IF(L23&gt;=I23,"Đã phủ AC","Thiếu AC")</x:f>
        <x:v>Đã phủ AC</x:v>
      </x:c>
      <x:c r="O23" s="18" t="n">
        <x:f>COUNTIFS('02_Test_Cases'!$D$5:$D$357,A23,'02_Test_Cases'!$P$5:$P$357,"&lt;&gt;Chưa chạy",'02_Test_Cases'!$P$5:$P$357,"&lt;&gt;")</x:f>
        <x:v>0</x:v>
      </x:c>
      <x:c r="P23" s="18" t="str">
        <x:f>IF(O23=0,"Chưa chạy",IF(O23&lt;K23,"Đang chạy","Đã chạy hết"))</x:f>
        <x:v>Chưa chạy</x:v>
      </x:c>
    </x:row>
    <x:row r="24" ht="44" customHeight="1">
      <x:c r="A24" s="18" t="str">
        <x:v>S2-10</x:v>
      </x:c>
      <x:c r="B24" s="18" t="n">
        <x:v>2</x:v>
      </x:c>
      <x:c r="C24" s="18" t="str">
        <x:v>EP-03</x:v>
      </x:c>
      <x:c r="D24" s="18" t="str">
        <x:v>Yêu cầu &amp; Phê duyệt</x:v>
      </x:c>
      <x:c r="E24" s="18" t="str">
        <x:v>Trưởng bộ phận</x:v>
      </x:c>
      <x:c r="F24" s="18" t="str">
        <x:v>Must</x:v>
      </x:c>
      <x:c r="G24" s="18" t="n">
        <x:v>8</x:v>
      </x:c>
      <x:c r="H24" s="18" t="str">
        <x:v>tạo yêu cầu tuyển dụng cho vị trí mình cần người</x:v>
      </x:c>
      <x:c r="I24" s="18" t="n">
        <x:v>4</x:v>
      </x:c>
      <x:c r="J24" s="18" t="n">
        <x:v>28</x:v>
      </x:c>
      <x:c r="K24" s="18" t="n">
        <x:f>COUNTIF('02_Test_Cases'!$D$5:$D$357,A24)</x:f>
        <x:v>5</x:v>
      </x:c>
      <x:c r="L24" s="18" t="n">
        <x:f>COUNTIFS('02_Test_Cases'!$D$5:$D$357,A24,'02_Test_Cases'!$W$5:$W$357,"Backlog / AC")</x:f>
        <x:v>4</x:v>
      </x:c>
      <x:c r="M24" s="18" t="n">
        <x:f>COUNTIFS('02_Test_Cases'!$D$5:$D$357,A24,'02_Test_Cases'!$W$5:$W$357,"Bổ sung QA")</x:f>
        <x:v>1</x:v>
      </x:c>
      <x:c r="N24" s="18" t="str">
        <x:f>IF(L24&gt;=I24,"Đã phủ AC","Thiếu AC")</x:f>
        <x:v>Đã phủ AC</x:v>
      </x:c>
      <x:c r="O24" s="18" t="n">
        <x:f>COUNTIFS('02_Test_Cases'!$D$5:$D$357,A24,'02_Test_Cases'!$P$5:$P$357,"&lt;&gt;Chưa chạy",'02_Test_Cases'!$P$5:$P$357,"&lt;&gt;")</x:f>
        <x:v>0</x:v>
      </x:c>
      <x:c r="P24" s="18" t="str">
        <x:f>IF(O24=0,"Chưa chạy",IF(O24&lt;K24,"Đang chạy","Đã chạy hết"))</x:f>
        <x:v>Chưa chạy</x:v>
      </x:c>
    </x:row>
    <x:row r="25" ht="44" customHeight="1">
      <x:c r="A25" s="18" t="str">
        <x:v>S3-01</x:v>
      </x:c>
      <x:c r="B25" s="18" t="n">
        <x:v>3</x:v>
      </x:c>
      <x:c r="C25" s="18" t="str">
        <x:v>EP-03</x:v>
      </x:c>
      <x:c r="D25" s="18" t="str">
        <x:v>Yêu cầu &amp; Phê duyệt</x:v>
      </x:c>
      <x:c r="E25" s="18" t="str">
        <x:v>Trưởng phòng Nhân sự</x:v>
      </x:c>
      <x:c r="F25" s="18" t="str">
        <x:v>Must</x:v>
      </x:c>
      <x:c r="G25" s="18" t="n">
        <x:v>8</x:v>
      </x:c>
      <x:c r="H25" s="18" t="str">
        <x:v>cấu hình luồng phê duyệt nhiều cấp theo hạn mức</x:v>
      </x:c>
      <x:c r="I25" s="18" t="n">
        <x:v>4</x:v>
      </x:c>
      <x:c r="J25" s="18" t="n">
        <x:v>31</x:v>
      </x:c>
      <x:c r="K25" s="18" t="n">
        <x:f>COUNTIF('02_Test_Cases'!$D$5:$D$357,A25)</x:f>
        <x:v>5</x:v>
      </x:c>
      <x:c r="L25" s="18" t="n">
        <x:f>COUNTIFS('02_Test_Cases'!$D$5:$D$357,A25,'02_Test_Cases'!$W$5:$W$357,"Backlog / AC")</x:f>
        <x:v>4</x:v>
      </x:c>
      <x:c r="M25" s="18" t="n">
        <x:f>COUNTIFS('02_Test_Cases'!$D$5:$D$357,A25,'02_Test_Cases'!$W$5:$W$357,"Bổ sung QA")</x:f>
        <x:v>1</x:v>
      </x:c>
      <x:c r="N25" s="18" t="str">
        <x:f>IF(L25&gt;=I25,"Đã phủ AC","Thiếu AC")</x:f>
        <x:v>Đã phủ AC</x:v>
      </x:c>
      <x:c r="O25" s="18" t="n">
        <x:f>COUNTIFS('02_Test_Cases'!$D$5:$D$357,A25,'02_Test_Cases'!$P$5:$P$357,"&lt;&gt;Chưa chạy",'02_Test_Cases'!$P$5:$P$357,"&lt;&gt;")</x:f>
        <x:v>0</x:v>
      </x:c>
      <x:c r="P25" s="18" t="str">
        <x:f>IF(O25=0,"Chưa chạy",IF(O25&lt;K25,"Đang chạy","Đã chạy hết"))</x:f>
        <x:v>Chưa chạy</x:v>
      </x:c>
    </x:row>
    <x:row r="26" ht="44" customHeight="1">
      <x:c r="A26" s="18" t="str">
        <x:v>S3-02</x:v>
      </x:c>
      <x:c r="B26" s="18" t="n">
        <x:v>3</x:v>
      </x:c>
      <x:c r="C26" s="18" t="str">
        <x:v>EP-03</x:v>
      </x:c>
      <x:c r="D26" s="18" t="str">
        <x:v>Yêu cầu &amp; Phê duyệt</x:v>
      </x:c>
      <x:c r="E26" s="18" t="str">
        <x:v>Người duyệt</x:v>
      </x:c>
      <x:c r="F26" s="18" t="str">
        <x:v>Must</x:v>
      </x:c>
      <x:c r="G26" s="18" t="n">
        <x:v>5</x:v>
      </x:c>
      <x:c r="H26" s="18" t="str">
        <x:v>phê duyệt, từ chối hoặc yêu cầu bổ sung một yêu cầu tuyển dụng</x:v>
      </x:c>
      <x:c r="I26" s="18" t="n">
        <x:v>3</x:v>
      </x:c>
      <x:c r="J26" s="18" t="n">
        <x:v>32</x:v>
      </x:c>
      <x:c r="K26" s="18" t="n">
        <x:f>COUNTIF('02_Test_Cases'!$D$5:$D$357,A26)</x:f>
        <x:v>4</x:v>
      </x:c>
      <x:c r="L26" s="18" t="n">
        <x:f>COUNTIFS('02_Test_Cases'!$D$5:$D$357,A26,'02_Test_Cases'!$W$5:$W$357,"Backlog / AC")</x:f>
        <x:v>3</x:v>
      </x:c>
      <x:c r="M26" s="18" t="n">
        <x:f>COUNTIFS('02_Test_Cases'!$D$5:$D$357,A26,'02_Test_Cases'!$W$5:$W$357,"Bổ sung QA")</x:f>
        <x:v>1</x:v>
      </x:c>
      <x:c r="N26" s="18" t="str">
        <x:f>IF(L26&gt;=I26,"Đã phủ AC","Thiếu AC")</x:f>
        <x:v>Đã phủ AC</x:v>
      </x:c>
      <x:c r="O26" s="18" t="n">
        <x:f>COUNTIFS('02_Test_Cases'!$D$5:$D$357,A26,'02_Test_Cases'!$P$5:$P$357,"&lt;&gt;Chưa chạy",'02_Test_Cases'!$P$5:$P$357,"&lt;&gt;")</x:f>
        <x:v>0</x:v>
      </x:c>
      <x:c r="P26" s="18" t="str">
        <x:f>IF(O26=0,"Chưa chạy",IF(O26&lt;K26,"Đang chạy","Đã chạy hết"))</x:f>
        <x:v>Chưa chạy</x:v>
      </x:c>
    </x:row>
    <x:row r="27" ht="44" customHeight="1">
      <x:c r="A27" s="18" t="str">
        <x:v>S3-03</x:v>
      </x:c>
      <x:c r="B27" s="18" t="n">
        <x:v>3</x:v>
      </x:c>
      <x:c r="C27" s="18" t="str">
        <x:v>EP-03</x:v>
      </x:c>
      <x:c r="D27" s="18" t="str">
        <x:v>Yêu cầu &amp; Phê duyệt</x:v>
      </x:c>
      <x:c r="E27" s="18" t="str">
        <x:v>Trưởng bộ phận</x:v>
      </x:c>
      <x:c r="F27" s="18" t="str">
        <x:v>Must</x:v>
      </x:c>
      <x:c r="G27" s="18" t="n">
        <x:v>3</x:v>
      </x:c>
      <x:c r="H27" s="18" t="str">
        <x:v>theo dõi trạng thái và lịch sử phê duyệt của yêu cầu</x:v>
      </x:c>
      <x:c r="I27" s="18" t="n">
        <x:v>3</x:v>
      </x:c>
      <x:c r="J27" s="18" t="n">
        <x:v>33</x:v>
      </x:c>
      <x:c r="K27" s="18" t="n">
        <x:f>COUNTIF('02_Test_Cases'!$D$5:$D$357,A27)</x:f>
        <x:v>4</x:v>
      </x:c>
      <x:c r="L27" s="18" t="n">
        <x:f>COUNTIFS('02_Test_Cases'!$D$5:$D$357,A27,'02_Test_Cases'!$W$5:$W$357,"Backlog / AC")</x:f>
        <x:v>3</x:v>
      </x:c>
      <x:c r="M27" s="18" t="n">
        <x:f>COUNTIFS('02_Test_Cases'!$D$5:$D$357,A27,'02_Test_Cases'!$W$5:$W$357,"Bổ sung QA")</x:f>
        <x:v>1</x:v>
      </x:c>
      <x:c r="N27" s="18" t="str">
        <x:f>IF(L27&gt;=I27,"Đã phủ AC","Thiếu AC")</x:f>
        <x:v>Đã phủ AC</x:v>
      </x:c>
      <x:c r="O27" s="18" t="n">
        <x:f>COUNTIFS('02_Test_Cases'!$D$5:$D$357,A27,'02_Test_Cases'!$P$5:$P$357,"&lt;&gt;Chưa chạy",'02_Test_Cases'!$P$5:$P$357,"&lt;&gt;")</x:f>
        <x:v>0</x:v>
      </x:c>
      <x:c r="P27" s="18" t="str">
        <x:f>IF(O27=0,"Chưa chạy",IF(O27&lt;K27,"Đang chạy","Đã chạy hết"))</x:f>
        <x:v>Chưa chạy</x:v>
      </x:c>
    </x:row>
    <x:row r="28" ht="44" customHeight="1">
      <x:c r="A28" s="18" t="str">
        <x:v>S3-04</x:v>
      </x:c>
      <x:c r="B28" s="18" t="n">
        <x:v>3</x:v>
      </x:c>
      <x:c r="C28" s="18" t="str">
        <x:v>EP-03</x:v>
      </x:c>
      <x:c r="D28" s="18" t="str">
        <x:v>Yêu cầu &amp; Phê duyệt</x:v>
      </x:c>
      <x:c r="E28" s="18" t="str">
        <x:v>Trưởng phòng Nhân sự</x:v>
      </x:c>
      <x:c r="F28" s="18" t="str">
        <x:v>Must</x:v>
      </x:c>
      <x:c r="G28" s="18" t="n">
        <x:v>5</x:v>
      </x:c>
      <x:c r="H28" s="18" t="str">
        <x:v>quản lý ngân sách headcount theo phòng ban</x:v>
      </x:c>
      <x:c r="I28" s="18" t="n">
        <x:v>3</x:v>
      </x:c>
      <x:c r="J28" s="18" t="n">
        <x:v>34</x:v>
      </x:c>
      <x:c r="K28" s="18" t="n">
        <x:f>COUNTIF('02_Test_Cases'!$D$5:$D$357,A28)</x:f>
        <x:v>4</x:v>
      </x:c>
      <x:c r="L28" s="18" t="n">
        <x:f>COUNTIFS('02_Test_Cases'!$D$5:$D$357,A28,'02_Test_Cases'!$W$5:$W$357,"Backlog / AC")</x:f>
        <x:v>3</x:v>
      </x:c>
      <x:c r="M28" s="18" t="n">
        <x:f>COUNTIFS('02_Test_Cases'!$D$5:$D$357,A28,'02_Test_Cases'!$W$5:$W$357,"Bổ sung QA")</x:f>
        <x:v>1</x:v>
      </x:c>
      <x:c r="N28" s="18" t="str">
        <x:f>IF(L28&gt;=I28,"Đã phủ AC","Thiếu AC")</x:f>
        <x:v>Đã phủ AC</x:v>
      </x:c>
      <x:c r="O28" s="18" t="n">
        <x:f>COUNTIFS('02_Test_Cases'!$D$5:$D$357,A28,'02_Test_Cases'!$P$5:$P$357,"&lt;&gt;Chưa chạy",'02_Test_Cases'!$P$5:$P$357,"&lt;&gt;")</x:f>
        <x:v>0</x:v>
      </x:c>
      <x:c r="P28" s="18" t="str">
        <x:f>IF(O28=0,"Chưa chạy",IF(O28&lt;K28,"Đang chạy","Đã chạy hết"))</x:f>
        <x:v>Chưa chạy</x:v>
      </x:c>
    </x:row>
    <x:row r="29" ht="44" customHeight="1">
      <x:c r="A29" s="18" t="str">
        <x:v>S3-05</x:v>
      </x:c>
      <x:c r="B29" s="18" t="n">
        <x:v>3</x:v>
      </x:c>
      <x:c r="C29" s="18" t="str">
        <x:v>EP-03</x:v>
      </x:c>
      <x:c r="D29" s="18" t="str">
        <x:v>Yêu cầu &amp; Phê duyệt</x:v>
      </x:c>
      <x:c r="E29" s="18" t="str">
        <x:v>Trưởng bộ phận</x:v>
      </x:c>
      <x:c r="F29" s="18" t="str">
        <x:v>Should</x:v>
      </x:c>
      <x:c r="G29" s="18" t="n">
        <x:v>2</x:v>
      </x:c>
      <x:c r="H29" s="18" t="str">
        <x:v>sao chép một yêu cầu tuyển dụng đã có</x:v>
      </x:c>
      <x:c r="I29" s="18" t="n">
        <x:v>2</x:v>
      </x:c>
      <x:c r="J29" s="18" t="n">
        <x:v>35</x:v>
      </x:c>
      <x:c r="K29" s="18" t="n">
        <x:f>COUNTIF('02_Test_Cases'!$D$5:$D$357,A29)</x:f>
        <x:v>3</x:v>
      </x:c>
      <x:c r="L29" s="18" t="n">
        <x:f>COUNTIFS('02_Test_Cases'!$D$5:$D$357,A29,'02_Test_Cases'!$W$5:$W$357,"Backlog / AC")</x:f>
        <x:v>2</x:v>
      </x:c>
      <x:c r="M29" s="18" t="n">
        <x:f>COUNTIFS('02_Test_Cases'!$D$5:$D$357,A29,'02_Test_Cases'!$W$5:$W$357,"Bổ sung QA")</x:f>
        <x:v>1</x:v>
      </x:c>
      <x:c r="N29" s="18" t="str">
        <x:f>IF(L29&gt;=I29,"Đã phủ AC","Thiếu AC")</x:f>
        <x:v>Đã phủ AC</x:v>
      </x:c>
      <x:c r="O29" s="18" t="n">
        <x:f>COUNTIFS('02_Test_Cases'!$D$5:$D$357,A29,'02_Test_Cases'!$P$5:$P$357,"&lt;&gt;Chưa chạy",'02_Test_Cases'!$P$5:$P$357,"&lt;&gt;")</x:f>
        <x:v>0</x:v>
      </x:c>
      <x:c r="P29" s="18" t="str">
        <x:f>IF(O29=0,"Chưa chạy",IF(O29&lt;K29,"Đang chạy","Đã chạy hết"))</x:f>
        <x:v>Chưa chạy</x:v>
      </x:c>
    </x:row>
    <x:row r="30" ht="44" customHeight="1">
      <x:c r="A30" s="18" t="str">
        <x:v>S3-06</x:v>
      </x:c>
      <x:c r="B30" s="18" t="n">
        <x:v>3</x:v>
      </x:c>
      <x:c r="C30" s="18" t="str">
        <x:v>EP-03</x:v>
      </x:c>
      <x:c r="D30" s="18" t="str">
        <x:v>Yêu cầu &amp; Phê duyệt</x:v>
      </x:c>
      <x:c r="E30" s="18" t="str">
        <x:v>Trưởng phòng Nhân sự</x:v>
      </x:c>
      <x:c r="F30" s="18" t="str">
        <x:v>Must</x:v>
      </x:c>
      <x:c r="G30" s="18" t="n">
        <x:v>3</x:v>
      </x:c>
      <x:c r="H30" s="18" t="str">
        <x:v>phân công recruiter phụ trách một yêu cầu tuyển dụng</x:v>
      </x:c>
      <x:c r="I30" s="18" t="n">
        <x:v>3</x:v>
      </x:c>
      <x:c r="J30" s="18" t="n">
        <x:v>36</x:v>
      </x:c>
      <x:c r="K30" s="18" t="n">
        <x:f>COUNTIF('02_Test_Cases'!$D$5:$D$357,A30)</x:f>
        <x:v>4</x:v>
      </x:c>
      <x:c r="L30" s="18" t="n">
        <x:f>COUNTIFS('02_Test_Cases'!$D$5:$D$357,A30,'02_Test_Cases'!$W$5:$W$357,"Backlog / AC")</x:f>
        <x:v>3</x:v>
      </x:c>
      <x:c r="M30" s="18" t="n">
        <x:f>COUNTIFS('02_Test_Cases'!$D$5:$D$357,A30,'02_Test_Cases'!$W$5:$W$357,"Bổ sung QA")</x:f>
        <x:v>1</x:v>
      </x:c>
      <x:c r="N30" s="18" t="str">
        <x:f>IF(L30&gt;=I30,"Đã phủ AC","Thiếu AC")</x:f>
        <x:v>Đã phủ AC</x:v>
      </x:c>
      <x:c r="O30" s="18" t="n">
        <x:f>COUNTIFS('02_Test_Cases'!$D$5:$D$357,A30,'02_Test_Cases'!$P$5:$P$357,"&lt;&gt;Chưa chạy",'02_Test_Cases'!$P$5:$P$357,"&lt;&gt;")</x:f>
        <x:v>0</x:v>
      </x:c>
      <x:c r="P30" s="18" t="str">
        <x:f>IF(O30=0,"Chưa chạy",IF(O30&lt;K30,"Đang chạy","Đã chạy hết"))</x:f>
        <x:v>Chưa chạy</x:v>
      </x:c>
    </x:row>
    <x:row r="31" ht="44" customHeight="1">
      <x:c r="A31" s="18" t="str">
        <x:v>S3-07</x:v>
      </x:c>
      <x:c r="B31" s="18" t="n">
        <x:v>3</x:v>
      </x:c>
      <x:c r="C31" s="18" t="str">
        <x:v>EP-03</x:v>
      </x:c>
      <x:c r="D31" s="18" t="str">
        <x:v>Yêu cầu &amp; Phê duyệt</x:v>
      </x:c>
      <x:c r="E31" s="18" t="str">
        <x:v>Trưởng phòng Nhân sự</x:v>
      </x:c>
      <x:c r="F31" s="18" t="str">
        <x:v>Must</x:v>
      </x:c>
      <x:c r="G31" s="18" t="n">
        <x:v>5</x:v>
      </x:c>
      <x:c r="H31" s="18" t="str">
        <x:v>tạm dừng, đóng hoặc huỷ một yêu cầu tuyển dụng</x:v>
      </x:c>
      <x:c r="I31" s="18" t="n">
        <x:v>3</x:v>
      </x:c>
      <x:c r="J31" s="18" t="n">
        <x:v>37</x:v>
      </x:c>
      <x:c r="K31" s="18" t="n">
        <x:f>COUNTIF('02_Test_Cases'!$D$5:$D$357,A31)</x:f>
        <x:v>4</x:v>
      </x:c>
      <x:c r="L31" s="18" t="n">
        <x:f>COUNTIFS('02_Test_Cases'!$D$5:$D$357,A31,'02_Test_Cases'!$W$5:$W$357,"Backlog / AC")</x:f>
        <x:v>3</x:v>
      </x:c>
      <x:c r="M31" s="18" t="n">
        <x:f>COUNTIFS('02_Test_Cases'!$D$5:$D$357,A31,'02_Test_Cases'!$W$5:$W$357,"Bổ sung QA")</x:f>
        <x:v>1</x:v>
      </x:c>
      <x:c r="N31" s="18" t="str">
        <x:f>IF(L31&gt;=I31,"Đã phủ AC","Thiếu AC")</x:f>
        <x:v>Đã phủ AC</x:v>
      </x:c>
      <x:c r="O31" s="18" t="n">
        <x:f>COUNTIFS('02_Test_Cases'!$D$5:$D$357,A31,'02_Test_Cases'!$P$5:$P$357,"&lt;&gt;Chưa chạy",'02_Test_Cases'!$P$5:$P$357,"&lt;&gt;")</x:f>
        <x:v>0</x:v>
      </x:c>
      <x:c r="P31" s="18" t="str">
        <x:f>IF(O31=0,"Chưa chạy",IF(O31&lt;K31,"Đang chạy","Đã chạy hết"))</x:f>
        <x:v>Chưa chạy</x:v>
      </x:c>
    </x:row>
    <x:row r="32" ht="44" customHeight="1">
      <x:c r="A32" s="18" t="str">
        <x:v>S3-08</x:v>
      </x:c>
      <x:c r="B32" s="18" t="n">
        <x:v>3</x:v>
      </x:c>
      <x:c r="C32" s="18" t="str">
        <x:v>EP-03</x:v>
      </x:c>
      <x:c r="D32" s="18" t="str">
        <x:v>Yêu cầu &amp; Phê duyệt</x:v>
      </x:c>
      <x:c r="E32" s="18" t="str">
        <x:v>Trưởng phòng Nhân sự</x:v>
      </x:c>
      <x:c r="F32" s="18" t="str">
        <x:v>Must</x:v>
      </x:c>
      <x:c r="G32" s="18" t="n">
        <x:v>5</x:v>
      </x:c>
      <x:c r="H32" s="18" t="str">
        <x:v>xem danh sách yêu cầu tuyển dụng kèm bộ lọc và cảnh báo trễ hạn</x:v>
      </x:c>
      <x:c r="I32" s="18" t="n">
        <x:v>3</x:v>
      </x:c>
      <x:c r="J32" s="18" t="n">
        <x:v>38</x:v>
      </x:c>
      <x:c r="K32" s="18" t="n">
        <x:f>COUNTIF('02_Test_Cases'!$D$5:$D$357,A32)</x:f>
        <x:v>4</x:v>
      </x:c>
      <x:c r="L32" s="18" t="n">
        <x:f>COUNTIFS('02_Test_Cases'!$D$5:$D$357,A32,'02_Test_Cases'!$W$5:$W$357,"Backlog / AC")</x:f>
        <x:v>3</x:v>
      </x:c>
      <x:c r="M32" s="18" t="n">
        <x:f>COUNTIFS('02_Test_Cases'!$D$5:$D$357,A32,'02_Test_Cases'!$W$5:$W$357,"Bổ sung QA")</x:f>
        <x:v>1</x:v>
      </x:c>
      <x:c r="N32" s="18" t="str">
        <x:f>IF(L32&gt;=I32,"Đã phủ AC","Thiếu AC")</x:f>
        <x:v>Đã phủ AC</x:v>
      </x:c>
      <x:c r="O32" s="18" t="n">
        <x:f>COUNTIFS('02_Test_Cases'!$D$5:$D$357,A32,'02_Test_Cases'!$P$5:$P$357,"&lt;&gt;Chưa chạy",'02_Test_Cases'!$P$5:$P$357,"&lt;&gt;")</x:f>
        <x:v>0</x:v>
      </x:c>
      <x:c r="P32" s="18" t="str">
        <x:f>IF(O32=0,"Chưa chạy",IF(O32&lt;K32,"Đang chạy","Đã chạy hết"))</x:f>
        <x:v>Chưa chạy</x:v>
      </x:c>
    </x:row>
    <x:row r="33" ht="44" customHeight="1">
      <x:c r="A33" s="18" t="str">
        <x:v>S3-09</x:v>
      </x:c>
      <x:c r="B33" s="18" t="n">
        <x:v>3</x:v>
      </x:c>
      <x:c r="C33" s="18" t="str">
        <x:v>EP-04</x:v>
      </x:c>
      <x:c r="D33" s="18" t="str">
        <x:v>Đăng tin &amp; Ứng tuyển</x:v>
      </x:c>
      <x:c r="E33" s="18" t="str">
        <x:v>Nhân viên tuyển dụng</x:v>
      </x:c>
      <x:c r="F33" s="18" t="str">
        <x:v>Must</x:v>
      </x:c>
      <x:c r="G33" s="18" t="n">
        <x:v>5</x:v>
      </x:c>
      <x:c r="H33" s="18" t="str">
        <x:v>soạn tin tuyển dụng từ một yêu cầu đã được duyệt</x:v>
      </x:c>
      <x:c r="I33" s="18" t="n">
        <x:v>3</x:v>
      </x:c>
      <x:c r="J33" s="18" t="n">
        <x:v>39</x:v>
      </x:c>
      <x:c r="K33" s="18" t="n">
        <x:f>COUNTIF('02_Test_Cases'!$D$5:$D$357,A33)</x:f>
        <x:v>4</x:v>
      </x:c>
      <x:c r="L33" s="18" t="n">
        <x:f>COUNTIFS('02_Test_Cases'!$D$5:$D$357,A33,'02_Test_Cases'!$W$5:$W$357,"Backlog / AC")</x:f>
        <x:v>3</x:v>
      </x:c>
      <x:c r="M33" s="18" t="n">
        <x:f>COUNTIFS('02_Test_Cases'!$D$5:$D$357,A33,'02_Test_Cases'!$W$5:$W$357,"Bổ sung QA")</x:f>
        <x:v>1</x:v>
      </x:c>
      <x:c r="N33" s="18" t="str">
        <x:f>IF(L33&gt;=I33,"Đã phủ AC","Thiếu AC")</x:f>
        <x:v>Đã phủ AC</x:v>
      </x:c>
      <x:c r="O33" s="18" t="n">
        <x:f>COUNTIFS('02_Test_Cases'!$D$5:$D$357,A33,'02_Test_Cases'!$P$5:$P$357,"&lt;&gt;Chưa chạy",'02_Test_Cases'!$P$5:$P$357,"&lt;&gt;")</x:f>
        <x:v>0</x:v>
      </x:c>
      <x:c r="P33" s="18" t="str">
        <x:f>IF(O33=0,"Chưa chạy",IF(O33&lt;K33,"Đang chạy","Đã chạy hết"))</x:f>
        <x:v>Chưa chạy</x:v>
      </x:c>
    </x:row>
    <x:row r="34" ht="44" customHeight="1">
      <x:c r="A34" s="18" t="str">
        <x:v>S3-10</x:v>
      </x:c>
      <x:c r="B34" s="18" t="n">
        <x:v>3</x:v>
      </x:c>
      <x:c r="C34" s="18" t="str">
        <x:v>EP-04</x:v>
      </x:c>
      <x:c r="D34" s="18" t="str">
        <x:v>Đăng tin &amp; Ứng tuyển</x:v>
      </x:c>
      <x:c r="E34" s="18" t="str">
        <x:v>Trưởng phòng Nhân sự</x:v>
      </x:c>
      <x:c r="F34" s="18" t="str">
        <x:v>Must</x:v>
      </x:c>
      <x:c r="G34" s="18" t="n">
        <x:v>3</x:v>
      </x:c>
      <x:c r="H34" s="18" t="str">
        <x:v>duyệt và xuất bản tin tuyển dụng</x:v>
      </x:c>
      <x:c r="I34" s="18" t="n">
        <x:v>3</x:v>
      </x:c>
      <x:c r="J34" s="18" t="n">
        <x:v>40</x:v>
      </x:c>
      <x:c r="K34" s="18" t="n">
        <x:f>COUNTIF('02_Test_Cases'!$D$5:$D$357,A34)</x:f>
        <x:v>4</x:v>
      </x:c>
      <x:c r="L34" s="18" t="n">
        <x:f>COUNTIFS('02_Test_Cases'!$D$5:$D$357,A34,'02_Test_Cases'!$W$5:$W$357,"Backlog / AC")</x:f>
        <x:v>3</x:v>
      </x:c>
      <x:c r="M34" s="18" t="n">
        <x:f>COUNTIFS('02_Test_Cases'!$D$5:$D$357,A34,'02_Test_Cases'!$W$5:$W$357,"Bổ sung QA")</x:f>
        <x:v>1</x:v>
      </x:c>
      <x:c r="N34" s="18" t="str">
        <x:f>IF(L34&gt;=I34,"Đã phủ AC","Thiếu AC")</x:f>
        <x:v>Đã phủ AC</x:v>
      </x:c>
      <x:c r="O34" s="18" t="n">
        <x:f>COUNTIFS('02_Test_Cases'!$D$5:$D$357,A34,'02_Test_Cases'!$P$5:$P$357,"&lt;&gt;Chưa chạy",'02_Test_Cases'!$P$5:$P$357,"&lt;&gt;")</x:f>
        <x:v>0</x:v>
      </x:c>
      <x:c r="P34" s="18" t="str">
        <x:f>IF(O34=0,"Chưa chạy",IF(O34&lt;K34,"Đang chạy","Đã chạy hết"))</x:f>
        <x:v>Chưa chạy</x:v>
      </x:c>
    </x:row>
    <x:row r="35" ht="44" customHeight="1">
      <x:c r="A35" s="18" t="str">
        <x:v>S4-01</x:v>
      </x:c>
      <x:c r="B35" s="18" t="n">
        <x:v>4</x:v>
      </x:c>
      <x:c r="C35" s="18" t="str">
        <x:v>EP-04</x:v>
      </x:c>
      <x:c r="D35" s="18" t="str">
        <x:v>Đăng tin &amp; Ứng tuyển</x:v>
      </x:c>
      <x:c r="E35" s="18" t="str">
        <x:v>Ứng viên</x:v>
      </x:c>
      <x:c r="F35" s="18" t="str">
        <x:v>Must</x:v>
      </x:c>
      <x:c r="G35" s="18" t="n">
        <x:v>5</x:v>
      </x:c>
      <x:c r="H35" s="18" t="str">
        <x:v>xem danh sách việc làm đang tuyển trên trang công khai</x:v>
      </x:c>
      <x:c r="I35" s="18" t="n">
        <x:v>4</x:v>
      </x:c>
      <x:c r="J35" s="18" t="n">
        <x:v>43</x:v>
      </x:c>
      <x:c r="K35" s="18" t="n">
        <x:f>COUNTIF('02_Test_Cases'!$D$5:$D$357,A35)</x:f>
        <x:v>5</x:v>
      </x:c>
      <x:c r="L35" s="18" t="n">
        <x:f>COUNTIFS('02_Test_Cases'!$D$5:$D$357,A35,'02_Test_Cases'!$W$5:$W$357,"Backlog / AC")</x:f>
        <x:v>4</x:v>
      </x:c>
      <x:c r="M35" s="18" t="n">
        <x:f>COUNTIFS('02_Test_Cases'!$D$5:$D$357,A35,'02_Test_Cases'!$W$5:$W$357,"Bổ sung QA")</x:f>
        <x:v>1</x:v>
      </x:c>
      <x:c r="N35" s="18" t="str">
        <x:f>IF(L35&gt;=I35,"Đã phủ AC","Thiếu AC")</x:f>
        <x:v>Đã phủ AC</x:v>
      </x:c>
      <x:c r="O35" s="18" t="n">
        <x:f>COUNTIFS('02_Test_Cases'!$D$5:$D$357,A35,'02_Test_Cases'!$P$5:$P$357,"&lt;&gt;Chưa chạy",'02_Test_Cases'!$P$5:$P$357,"&lt;&gt;")</x:f>
        <x:v>0</x:v>
      </x:c>
      <x:c r="P35" s="18" t="str">
        <x:f>IF(O35=0,"Chưa chạy",IF(O35&lt;K35,"Đang chạy","Đã chạy hết"))</x:f>
        <x:v>Chưa chạy</x:v>
      </x:c>
    </x:row>
    <x:row r="36" ht="44" customHeight="1">
      <x:c r="A36" s="18" t="str">
        <x:v>S4-02</x:v>
      </x:c>
      <x:c r="B36" s="18" t="n">
        <x:v>4</x:v>
      </x:c>
      <x:c r="C36" s="18" t="str">
        <x:v>EP-04</x:v>
      </x:c>
      <x:c r="D36" s="18" t="str">
        <x:v>Đăng tin &amp; Ứng tuyển</x:v>
      </x:c>
      <x:c r="E36" s="18" t="str">
        <x:v>Ứng viên</x:v>
      </x:c>
      <x:c r="F36" s="18" t="str">
        <x:v>Must</x:v>
      </x:c>
      <x:c r="G36" s="18" t="n">
        <x:v>5</x:v>
      </x:c>
      <x:c r="H36" s="18" t="str">
        <x:v>xem chi tiết một tin tuyển dụng</x:v>
      </x:c>
      <x:c r="I36" s="18" t="n">
        <x:v>3</x:v>
      </x:c>
      <x:c r="J36" s="18" t="n">
        <x:v>44</x:v>
      </x:c>
      <x:c r="K36" s="18" t="n">
        <x:f>COUNTIF('02_Test_Cases'!$D$5:$D$357,A36)</x:f>
        <x:v>4</x:v>
      </x:c>
      <x:c r="L36" s="18" t="n">
        <x:f>COUNTIFS('02_Test_Cases'!$D$5:$D$357,A36,'02_Test_Cases'!$W$5:$W$357,"Backlog / AC")</x:f>
        <x:v>3</x:v>
      </x:c>
      <x:c r="M36" s="18" t="n">
        <x:f>COUNTIFS('02_Test_Cases'!$D$5:$D$357,A36,'02_Test_Cases'!$W$5:$W$357,"Bổ sung QA")</x:f>
        <x:v>1</x:v>
      </x:c>
      <x:c r="N36" s="18" t="str">
        <x:f>IF(L36&gt;=I36,"Đã phủ AC","Thiếu AC")</x:f>
        <x:v>Đã phủ AC</x:v>
      </x:c>
      <x:c r="O36" s="18" t="n">
        <x:f>COUNTIFS('02_Test_Cases'!$D$5:$D$357,A36,'02_Test_Cases'!$P$5:$P$357,"&lt;&gt;Chưa chạy",'02_Test_Cases'!$P$5:$P$357,"&lt;&gt;")</x:f>
        <x:v>0</x:v>
      </x:c>
      <x:c r="P36" s="18" t="str">
        <x:f>IF(O36=0,"Chưa chạy",IF(O36&lt;K36,"Đang chạy","Đã chạy hết"))</x:f>
        <x:v>Chưa chạy</x:v>
      </x:c>
    </x:row>
    <x:row r="37" ht="44" customHeight="1">
      <x:c r="A37" s="18" t="str">
        <x:v>S4-03</x:v>
      </x:c>
      <x:c r="B37" s="18" t="n">
        <x:v>4</x:v>
      </x:c>
      <x:c r="C37" s="18" t="str">
        <x:v>EP-04</x:v>
      </x:c>
      <x:c r="D37" s="18" t="str">
        <x:v>Đăng tin &amp; Ứng tuyển</x:v>
      </x:c>
      <x:c r="E37" s="18" t="str">
        <x:v>Ứng viên</x:v>
      </x:c>
      <x:c r="F37" s="18" t="str">
        <x:v>Must</x:v>
      </x:c>
      <x:c r="G37" s="18" t="n">
        <x:v>8</x:v>
      </x:c>
      <x:c r="H37" s="18" t="str">
        <x:v>nộp hồ sơ ứng tuyển kèm CV</x:v>
      </x:c>
      <x:c r="I37" s="18" t="n">
        <x:v>5</x:v>
      </x:c>
      <x:c r="J37" s="18" t="n">
        <x:v>45</x:v>
      </x:c>
      <x:c r="K37" s="18" t="n">
        <x:f>COUNTIF('02_Test_Cases'!$D$5:$D$357,A37)</x:f>
        <x:v>6</x:v>
      </x:c>
      <x:c r="L37" s="18" t="n">
        <x:f>COUNTIFS('02_Test_Cases'!$D$5:$D$357,A37,'02_Test_Cases'!$W$5:$W$357,"Backlog / AC")</x:f>
        <x:v>5</x:v>
      </x:c>
      <x:c r="M37" s="18" t="n">
        <x:f>COUNTIFS('02_Test_Cases'!$D$5:$D$357,A37,'02_Test_Cases'!$W$5:$W$357,"Bổ sung QA")</x:f>
        <x:v>1</x:v>
      </x:c>
      <x:c r="N37" s="18" t="str">
        <x:f>IF(L37&gt;=I37,"Đã phủ AC","Thiếu AC")</x:f>
        <x:v>Đã phủ AC</x:v>
      </x:c>
      <x:c r="O37" s="18" t="n">
        <x:f>COUNTIFS('02_Test_Cases'!$D$5:$D$357,A37,'02_Test_Cases'!$P$5:$P$357,"&lt;&gt;Chưa chạy",'02_Test_Cases'!$P$5:$P$357,"&lt;&gt;")</x:f>
        <x:v>0</x:v>
      </x:c>
      <x:c r="P37" s="18" t="str">
        <x:f>IF(O37=0,"Chưa chạy",IF(O37&lt;K37,"Đang chạy","Đã chạy hết"))</x:f>
        <x:v>Chưa chạy</x:v>
      </x:c>
    </x:row>
    <x:row r="38" ht="44" customHeight="1">
      <x:c r="A38" s="18" t="str">
        <x:v>S4-04</x:v>
      </x:c>
      <x:c r="B38" s="18" t="n">
        <x:v>4</x:v>
      </x:c>
      <x:c r="C38" s="18" t="str">
        <x:v>EP-04</x:v>
      </x:c>
      <x:c r="D38" s="18" t="str">
        <x:v>Đăng tin &amp; Ứng tuyển</x:v>
      </x:c>
      <x:c r="E38" s="18" t="str">
        <x:v>Nhân viên tuyển dụng</x:v>
      </x:c>
      <x:c r="F38" s="18" t="str">
        <x:v>Should</x:v>
      </x:c>
      <x:c r="G38" s="18" t="n">
        <x:v>5</x:v>
      </x:c>
      <x:c r="H38" s="18" t="str">
        <x:v>có thông tin cơ bản của ứng viên được điền sẵn từ tệp CV</x:v>
      </x:c>
      <x:c r="I38" s="18" t="n">
        <x:v>3</x:v>
      </x:c>
      <x:c r="J38" s="18" t="n">
        <x:v>46</x:v>
      </x:c>
      <x:c r="K38" s="18" t="n">
        <x:f>COUNTIF('02_Test_Cases'!$D$5:$D$357,A38)</x:f>
        <x:v>4</x:v>
      </x:c>
      <x:c r="L38" s="18" t="n">
        <x:f>COUNTIFS('02_Test_Cases'!$D$5:$D$357,A38,'02_Test_Cases'!$W$5:$W$357,"Backlog / AC")</x:f>
        <x:v>3</x:v>
      </x:c>
      <x:c r="M38" s="18" t="n">
        <x:f>COUNTIFS('02_Test_Cases'!$D$5:$D$357,A38,'02_Test_Cases'!$W$5:$W$357,"Bổ sung QA")</x:f>
        <x:v>1</x:v>
      </x:c>
      <x:c r="N38" s="18" t="str">
        <x:f>IF(L38&gt;=I38,"Đã phủ AC","Thiếu AC")</x:f>
        <x:v>Đã phủ AC</x:v>
      </x:c>
      <x:c r="O38" s="18" t="n">
        <x:f>COUNTIFS('02_Test_Cases'!$D$5:$D$357,A38,'02_Test_Cases'!$P$5:$P$357,"&lt;&gt;Chưa chạy",'02_Test_Cases'!$P$5:$P$357,"&lt;&gt;")</x:f>
        <x:v>0</x:v>
      </x:c>
      <x:c r="P38" s="18" t="str">
        <x:f>IF(O38=0,"Chưa chạy",IF(O38&lt;K38,"Đang chạy","Đã chạy hết"))</x:f>
        <x:v>Chưa chạy</x:v>
      </x:c>
    </x:row>
    <x:row r="39" ht="44" customHeight="1">
      <x:c r="A39" s="18" t="str">
        <x:v>S4-05</x:v>
      </x:c>
      <x:c r="B39" s="18" t="n">
        <x:v>4</x:v>
      </x:c>
      <x:c r="C39" s="18" t="str">
        <x:v>EP-04</x:v>
      </x:c>
      <x:c r="D39" s="18" t="str">
        <x:v>Đăng tin &amp; Ứng tuyển</x:v>
      </x:c>
      <x:c r="E39" s="18" t="str">
        <x:v>Ứng viên</x:v>
      </x:c>
      <x:c r="F39" s="18" t="str">
        <x:v>Must</x:v>
      </x:c>
      <x:c r="G39" s="18" t="n">
        <x:v>5</x:v>
      </x:c>
      <x:c r="H39" s="18" t="str">
        <x:v>tra cứu trạng thái hồ sơ của mình bằng mã tra cứu</x:v>
      </x:c>
      <x:c r="I39" s="18" t="n">
        <x:v>3</x:v>
      </x:c>
      <x:c r="J39" s="18" t="n">
        <x:v>47</x:v>
      </x:c>
      <x:c r="K39" s="18" t="n">
        <x:f>COUNTIF('02_Test_Cases'!$D$5:$D$357,A39)</x:f>
        <x:v>4</x:v>
      </x:c>
      <x:c r="L39" s="18" t="n">
        <x:f>COUNTIFS('02_Test_Cases'!$D$5:$D$357,A39,'02_Test_Cases'!$W$5:$W$357,"Backlog / AC")</x:f>
        <x:v>3</x:v>
      </x:c>
      <x:c r="M39" s="18" t="n">
        <x:f>COUNTIFS('02_Test_Cases'!$D$5:$D$357,A39,'02_Test_Cases'!$W$5:$W$357,"Bổ sung QA")</x:f>
        <x:v>1</x:v>
      </x:c>
      <x:c r="N39" s="18" t="str">
        <x:f>IF(L39&gt;=I39,"Đã phủ AC","Thiếu AC")</x:f>
        <x:v>Đã phủ AC</x:v>
      </x:c>
      <x:c r="O39" s="18" t="n">
        <x:f>COUNTIFS('02_Test_Cases'!$D$5:$D$357,A39,'02_Test_Cases'!$P$5:$P$357,"&lt;&gt;Chưa chạy",'02_Test_Cases'!$P$5:$P$357,"&lt;&gt;")</x:f>
        <x:v>0</x:v>
      </x:c>
      <x:c r="P39" s="18" t="str">
        <x:f>IF(O39=0,"Chưa chạy",IF(O39&lt;K39,"Đang chạy","Đã chạy hết"))</x:f>
        <x:v>Chưa chạy</x:v>
      </x:c>
    </x:row>
    <x:row r="40" ht="44" customHeight="1">
      <x:c r="A40" s="18" t="str">
        <x:v>S4-06</x:v>
      </x:c>
      <x:c r="B40" s="18" t="n">
        <x:v>4</x:v>
      </x:c>
      <x:c r="C40" s="18" t="str">
        <x:v>EP-04</x:v>
      </x:c>
      <x:c r="D40" s="18" t="str">
        <x:v>Đăng tin &amp; Ứng tuyển</x:v>
      </x:c>
      <x:c r="E40" s="18" t="str">
        <x:v>Ứng viên</x:v>
      </x:c>
      <x:c r="F40" s="18" t="str">
        <x:v>Should</x:v>
      </x:c>
      <x:c r="G40" s="18" t="n">
        <x:v>2</x:v>
      </x:c>
      <x:c r="H40" s="18" t="str">
        <x:v>rút hồ sơ ứng tuyển của mình</x:v>
      </x:c>
      <x:c r="I40" s="18" t="n">
        <x:v>3</x:v>
      </x:c>
      <x:c r="J40" s="18" t="n">
        <x:v>48</x:v>
      </x:c>
      <x:c r="K40" s="18" t="n">
        <x:f>COUNTIF('02_Test_Cases'!$D$5:$D$357,A40)</x:f>
        <x:v>4</x:v>
      </x:c>
      <x:c r="L40" s="18" t="n">
        <x:f>COUNTIFS('02_Test_Cases'!$D$5:$D$357,A40,'02_Test_Cases'!$W$5:$W$357,"Backlog / AC")</x:f>
        <x:v>3</x:v>
      </x:c>
      <x:c r="M40" s="18" t="n">
        <x:f>COUNTIFS('02_Test_Cases'!$D$5:$D$357,A40,'02_Test_Cases'!$W$5:$W$357,"Bổ sung QA")</x:f>
        <x:v>1</x:v>
      </x:c>
      <x:c r="N40" s="18" t="str">
        <x:f>IF(L40&gt;=I40,"Đã phủ AC","Thiếu AC")</x:f>
        <x:v>Đã phủ AC</x:v>
      </x:c>
      <x:c r="O40" s="18" t="n">
        <x:f>COUNTIFS('02_Test_Cases'!$D$5:$D$357,A40,'02_Test_Cases'!$P$5:$P$357,"&lt;&gt;Chưa chạy",'02_Test_Cases'!$P$5:$P$357,"&lt;&gt;")</x:f>
        <x:v>0</x:v>
      </x:c>
      <x:c r="P40" s="18" t="str">
        <x:f>IF(O40=0,"Chưa chạy",IF(O40&lt;K40,"Đang chạy","Đã chạy hết"))</x:f>
        <x:v>Chưa chạy</x:v>
      </x:c>
    </x:row>
    <x:row r="41" ht="44" customHeight="1">
      <x:c r="A41" s="18" t="str">
        <x:v>S4-07</x:v>
      </x:c>
      <x:c r="B41" s="18" t="n">
        <x:v>4</x:v>
      </x:c>
      <x:c r="C41" s="18" t="str">
        <x:v>EP-04</x:v>
      </x:c>
      <x:c r="D41" s="18" t="str">
        <x:v>Đăng tin &amp; Ứng tuyển</x:v>
      </x:c>
      <x:c r="E41" s="18" t="str">
        <x:v>nhân sự nội bộ</x:v>
      </x:c>
      <x:c r="F41" s="18" t="str">
        <x:v>Should</x:v>
      </x:c>
      <x:c r="G41" s="18" t="n">
        <x:v>5</x:v>
      </x:c>
      <x:c r="H41" s="18" t="str">
        <x:v>giới thiệu ứng viên cho một vị trí đang tuyển</x:v>
      </x:c>
      <x:c r="I41" s="18" t="n">
        <x:v>3</x:v>
      </x:c>
      <x:c r="J41" s="18" t="n">
        <x:v>49</x:v>
      </x:c>
      <x:c r="K41" s="18" t="n">
        <x:f>COUNTIF('02_Test_Cases'!$D$5:$D$357,A41)</x:f>
        <x:v>4</x:v>
      </x:c>
      <x:c r="L41" s="18" t="n">
        <x:f>COUNTIFS('02_Test_Cases'!$D$5:$D$357,A41,'02_Test_Cases'!$W$5:$W$357,"Backlog / AC")</x:f>
        <x:v>3</x:v>
      </x:c>
      <x:c r="M41" s="18" t="n">
        <x:f>COUNTIFS('02_Test_Cases'!$D$5:$D$357,A41,'02_Test_Cases'!$W$5:$W$357,"Bổ sung QA")</x:f>
        <x:v>1</x:v>
      </x:c>
      <x:c r="N41" s="18" t="str">
        <x:f>IF(L41&gt;=I41,"Đã phủ AC","Thiếu AC")</x:f>
        <x:v>Đã phủ AC</x:v>
      </x:c>
      <x:c r="O41" s="18" t="n">
        <x:f>COUNTIFS('02_Test_Cases'!$D$5:$D$357,A41,'02_Test_Cases'!$P$5:$P$357,"&lt;&gt;Chưa chạy",'02_Test_Cases'!$P$5:$P$357,"&lt;&gt;")</x:f>
        <x:v>0</x:v>
      </x:c>
      <x:c r="P41" s="18" t="str">
        <x:f>IF(O41=0,"Chưa chạy",IF(O41&lt;K41,"Đang chạy","Đã chạy hết"))</x:f>
        <x:v>Chưa chạy</x:v>
      </x:c>
    </x:row>
    <x:row r="42" ht="44" customHeight="1">
      <x:c r="A42" s="18" t="str">
        <x:v>S4-08</x:v>
      </x:c>
      <x:c r="B42" s="18" t="n">
        <x:v>4</x:v>
      </x:c>
      <x:c r="C42" s="18" t="str">
        <x:v>EP-04</x:v>
      </x:c>
      <x:c r="D42" s="18" t="str">
        <x:v>Đăng tin &amp; Ứng tuyển</x:v>
      </x:c>
      <x:c r="E42" s="18" t="str">
        <x:v>Nhân viên tuyển dụng</x:v>
      </x:c>
      <x:c r="F42" s="18" t="str">
        <x:v>Must</x:v>
      </x:c>
      <x:c r="G42" s="18" t="n">
        <x:v>2</x:v>
      </x:c>
      <x:c r="H42" s="18" t="str">
        <x:v>gỡ tin hoặc</x:v>
      </x:c>
      <x:c r="I42" s="18" t="n">
        <x:v>2</x:v>
      </x:c>
      <x:c r="J42" s="18" t="n">
        <x:v>50</x:v>
      </x:c>
      <x:c r="K42" s="18" t="n">
        <x:f>COUNTIF('02_Test_Cases'!$D$5:$D$357,A42)</x:f>
        <x:v>3</x:v>
      </x:c>
      <x:c r="L42" s="18" t="n">
        <x:f>COUNTIFS('02_Test_Cases'!$D$5:$D$357,A42,'02_Test_Cases'!$W$5:$W$357,"Backlog / AC")</x:f>
        <x:v>2</x:v>
      </x:c>
      <x:c r="M42" s="18" t="n">
        <x:f>COUNTIFS('02_Test_Cases'!$D$5:$D$357,A42,'02_Test_Cases'!$W$5:$W$357,"Bổ sung QA")</x:f>
        <x:v>1</x:v>
      </x:c>
      <x:c r="N42" s="18" t="str">
        <x:f>IF(L42&gt;=I42,"Đã phủ AC","Thiếu AC")</x:f>
        <x:v>Đã phủ AC</x:v>
      </x:c>
      <x:c r="O42" s="18" t="n">
        <x:f>COUNTIFS('02_Test_Cases'!$D$5:$D$357,A42,'02_Test_Cases'!$P$5:$P$357,"&lt;&gt;Chưa chạy",'02_Test_Cases'!$P$5:$P$357,"&lt;&gt;")</x:f>
        <x:v>0</x:v>
      </x:c>
      <x:c r="P42" s="18" t="str">
        <x:f>IF(O42=0,"Chưa chạy",IF(O42&lt;K42,"Đang chạy","Đã chạy hết"))</x:f>
        <x:v>Chưa chạy</x:v>
      </x:c>
    </x:row>
    <x:row r="43" ht="44" customHeight="1">
      <x:c r="A43" s="18" t="str">
        <x:v>S4-09</x:v>
      </x:c>
      <x:c r="B43" s="18" t="n">
        <x:v>4</x:v>
      </x:c>
      <x:c r="C43" s="18" t="str">
        <x:v>EP-05</x:v>
      </x:c>
      <x:c r="D43" s="18" t="str">
        <x:v>Hồ sơ &amp; Pipeline</x:v>
      </x:c>
      <x:c r="E43" s="18" t="str">
        <x:v>Nhân viên tuyển dụng</x:v>
      </x:c>
      <x:c r="F43" s="18" t="str">
        <x:v>Must</x:v>
      </x:c>
      <x:c r="G43" s="18" t="n">
        <x:v>8</x:v>
      </x:c>
      <x:c r="H43" s="18" t="str">
        <x:v>xem hồ sơ ứng viên hợp nhất</x:v>
      </x:c>
      <x:c r="I43" s="18" t="n">
        <x:v>3</x:v>
      </x:c>
      <x:c r="J43" s="18" t="n">
        <x:v>51</x:v>
      </x:c>
      <x:c r="K43" s="18" t="n">
        <x:f>COUNTIF('02_Test_Cases'!$D$5:$D$357,A43)</x:f>
        <x:v>4</x:v>
      </x:c>
      <x:c r="L43" s="18" t="n">
        <x:f>COUNTIFS('02_Test_Cases'!$D$5:$D$357,A43,'02_Test_Cases'!$W$5:$W$357,"Backlog / AC")</x:f>
        <x:v>3</x:v>
      </x:c>
      <x:c r="M43" s="18" t="n">
        <x:f>COUNTIFS('02_Test_Cases'!$D$5:$D$357,A43,'02_Test_Cases'!$W$5:$W$357,"Bổ sung QA")</x:f>
        <x:v>1</x:v>
      </x:c>
      <x:c r="N43" s="18" t="str">
        <x:f>IF(L43&gt;=I43,"Đã phủ AC","Thiếu AC")</x:f>
        <x:v>Đã phủ AC</x:v>
      </x:c>
      <x:c r="O43" s="18" t="n">
        <x:f>COUNTIFS('02_Test_Cases'!$D$5:$D$357,A43,'02_Test_Cases'!$P$5:$P$357,"&lt;&gt;Chưa chạy",'02_Test_Cases'!$P$5:$P$357,"&lt;&gt;")</x:f>
        <x:v>0</x:v>
      </x:c>
      <x:c r="P43" s="18" t="str">
        <x:f>IF(O43=0,"Chưa chạy",IF(O43&lt;K43,"Đang chạy","Đã chạy hết"))</x:f>
        <x:v>Chưa chạy</x:v>
      </x:c>
    </x:row>
    <x:row r="44" ht="44" customHeight="1">
      <x:c r="A44" s="18" t="str">
        <x:v>S5-01</x:v>
      </x:c>
      <x:c r="B44" s="18" t="n">
        <x:v>5</x:v>
      </x:c>
      <x:c r="C44" s="18" t="str">
        <x:v>EP-05</x:v>
      </x:c>
      <x:c r="D44" s="18" t="str">
        <x:v>Hồ sơ &amp; Pipeline</x:v>
      </x:c>
      <x:c r="E44" s="18" t="str">
        <x:v>Nhân viên tuyển dụng</x:v>
      </x:c>
      <x:c r="F44" s="18" t="str">
        <x:v>Must</x:v>
      </x:c>
      <x:c r="G44" s="18" t="n">
        <x:v>5</x:v>
      </x:c>
      <x:c r="H44" s="18" t="str">
        <x:v>được cảnh báo và gộp hồ sơ ứng viên trùng</x:v>
      </x:c>
      <x:c r="I44" s="18" t="n">
        <x:v>4</x:v>
      </x:c>
      <x:c r="J44" s="18" t="n">
        <x:v>54</x:v>
      </x:c>
      <x:c r="K44" s="18" t="n">
        <x:f>COUNTIF('02_Test_Cases'!$D$5:$D$357,A44)</x:f>
        <x:v>5</x:v>
      </x:c>
      <x:c r="L44" s="18" t="n">
        <x:f>COUNTIFS('02_Test_Cases'!$D$5:$D$357,A44,'02_Test_Cases'!$W$5:$W$357,"Backlog / AC")</x:f>
        <x:v>4</x:v>
      </x:c>
      <x:c r="M44" s="18" t="n">
        <x:f>COUNTIFS('02_Test_Cases'!$D$5:$D$357,A44,'02_Test_Cases'!$W$5:$W$357,"Bổ sung QA")</x:f>
        <x:v>1</x:v>
      </x:c>
      <x:c r="N44" s="18" t="str">
        <x:f>IF(L44&gt;=I44,"Đã phủ AC","Thiếu AC")</x:f>
        <x:v>Đã phủ AC</x:v>
      </x:c>
      <x:c r="O44" s="18" t="n">
        <x:f>COUNTIFS('02_Test_Cases'!$D$5:$D$357,A44,'02_Test_Cases'!$P$5:$P$357,"&lt;&gt;Chưa chạy",'02_Test_Cases'!$P$5:$P$357,"&lt;&gt;")</x:f>
        <x:v>0</x:v>
      </x:c>
      <x:c r="P44" s="18" t="str">
        <x:f>IF(O44=0,"Chưa chạy",IF(O44&lt;K44,"Đang chạy","Đã chạy hết"))</x:f>
        <x:v>Chưa chạy</x:v>
      </x:c>
    </x:row>
    <x:row r="45" ht="44" customHeight="1">
      <x:c r="A45" s="18" t="str">
        <x:v>S5-02</x:v>
      </x:c>
      <x:c r="B45" s="18" t="n">
        <x:v>5</x:v>
      </x:c>
      <x:c r="C45" s="18" t="str">
        <x:v>EP-05</x:v>
      </x:c>
      <x:c r="D45" s="18" t="str">
        <x:v>Hồ sơ &amp; Pipeline</x:v>
      </x:c>
      <x:c r="E45" s="18" t="str">
        <x:v>Nhân viên tuyển dụng</x:v>
      </x:c>
      <x:c r="F45" s="18" t="str">
        <x:v>Must</x:v>
      </x:c>
      <x:c r="G45" s="18" t="n">
        <x:v>8</x:v>
      </x:c>
      <x:c r="H45" s="18" t="str">
        <x:v>điều phối ứng viên trên bảng pipeline dạng kanban</x:v>
      </x:c>
      <x:c r="I45" s="18" t="n">
        <x:v>4</x:v>
      </x:c>
      <x:c r="J45" s="18" t="n">
        <x:v>55</x:v>
      </x:c>
      <x:c r="K45" s="18" t="n">
        <x:f>COUNTIF('02_Test_Cases'!$D$5:$D$357,A45)</x:f>
        <x:v>5</x:v>
      </x:c>
      <x:c r="L45" s="18" t="n">
        <x:f>COUNTIFS('02_Test_Cases'!$D$5:$D$357,A45,'02_Test_Cases'!$W$5:$W$357,"Backlog / AC")</x:f>
        <x:v>4</x:v>
      </x:c>
      <x:c r="M45" s="18" t="n">
        <x:f>COUNTIFS('02_Test_Cases'!$D$5:$D$357,A45,'02_Test_Cases'!$W$5:$W$357,"Bổ sung QA")</x:f>
        <x:v>1</x:v>
      </x:c>
      <x:c r="N45" s="18" t="str">
        <x:f>IF(L45&gt;=I45,"Đã phủ AC","Thiếu AC")</x:f>
        <x:v>Đã phủ AC</x:v>
      </x:c>
      <x:c r="O45" s="18" t="n">
        <x:f>COUNTIFS('02_Test_Cases'!$D$5:$D$357,A45,'02_Test_Cases'!$P$5:$P$357,"&lt;&gt;Chưa chạy",'02_Test_Cases'!$P$5:$P$357,"&lt;&gt;")</x:f>
        <x:v>0</x:v>
      </x:c>
      <x:c r="P45" s="18" t="str">
        <x:f>IF(O45=0,"Chưa chạy",IF(O45&lt;K45,"Đang chạy","Đã chạy hết"))</x:f>
        <x:v>Chưa chạy</x:v>
      </x:c>
    </x:row>
    <x:row r="46" ht="44" customHeight="1">
      <x:c r="A46" s="18" t="str">
        <x:v>S5-03</x:v>
      </x:c>
      <x:c r="B46" s="18" t="n">
        <x:v>5</x:v>
      </x:c>
      <x:c r="C46" s="18" t="str">
        <x:v>EP-05</x:v>
      </x:c>
      <x:c r="D46" s="18" t="str">
        <x:v>Hồ sơ &amp; Pipeline</x:v>
      </x:c>
      <x:c r="E46" s="18" t="str">
        <x:v>Nhân viên tuyển dụng</x:v>
      </x:c>
      <x:c r="F46" s="18" t="str">
        <x:v>Must</x:v>
      </x:c>
      <x:c r="G46" s="18" t="n">
        <x:v>5</x:v>
      </x:c>
      <x:c r="H46" s="18" t="str">
        <x:v>chuyển giai đoạn và ghi lý do khi loại ứng viên</x:v>
      </x:c>
      <x:c r="I46" s="18" t="n">
        <x:v>3</x:v>
      </x:c>
      <x:c r="J46" s="18" t="n">
        <x:v>56</x:v>
      </x:c>
      <x:c r="K46" s="18" t="n">
        <x:f>COUNTIF('02_Test_Cases'!$D$5:$D$357,A46)</x:f>
        <x:v>4</x:v>
      </x:c>
      <x:c r="L46" s="18" t="n">
        <x:f>COUNTIFS('02_Test_Cases'!$D$5:$D$357,A46,'02_Test_Cases'!$W$5:$W$357,"Backlog / AC")</x:f>
        <x:v>3</x:v>
      </x:c>
      <x:c r="M46" s="18" t="n">
        <x:f>COUNTIFS('02_Test_Cases'!$D$5:$D$357,A46,'02_Test_Cases'!$W$5:$W$357,"Bổ sung QA")</x:f>
        <x:v>1</x:v>
      </x:c>
      <x:c r="N46" s="18" t="str">
        <x:f>IF(L46&gt;=I46,"Đã phủ AC","Thiếu AC")</x:f>
        <x:v>Đã phủ AC</x:v>
      </x:c>
      <x:c r="O46" s="18" t="n">
        <x:f>COUNTIFS('02_Test_Cases'!$D$5:$D$357,A46,'02_Test_Cases'!$P$5:$P$357,"&lt;&gt;Chưa chạy",'02_Test_Cases'!$P$5:$P$357,"&lt;&gt;")</x:f>
        <x:v>0</x:v>
      </x:c>
      <x:c r="P46" s="18" t="str">
        <x:f>IF(O46=0,"Chưa chạy",IF(O46&lt;K46,"Đang chạy","Đã chạy hết"))</x:f>
        <x:v>Chưa chạy</x:v>
      </x:c>
    </x:row>
    <x:row r="47" ht="44" customHeight="1">
      <x:c r="A47" s="18" t="str">
        <x:v>S5-04</x:v>
      </x:c>
      <x:c r="B47" s="18" t="n">
        <x:v>5</x:v>
      </x:c>
      <x:c r="C47" s="18" t="str">
        <x:v>EP-05</x:v>
      </x:c>
      <x:c r="D47" s="18" t="str">
        <x:v>Hồ sơ &amp; Pipeline</x:v>
      </x:c>
      <x:c r="E47" s="18" t="str">
        <x:v>Nhân viên tuyển dụng</x:v>
      </x:c>
      <x:c r="F47" s="18" t="str">
        <x:v>Must</x:v>
      </x:c>
      <x:c r="G47" s="18" t="n">
        <x:v>5</x:v>
      </x:c>
      <x:c r="H47" s="18" t="str">
        <x:v>sàng lọc hồ sơ bằng nhãn, đánh giá nhanh và ghi chú</x:v>
      </x:c>
      <x:c r="I47" s="18" t="n">
        <x:v>3</x:v>
      </x:c>
      <x:c r="J47" s="18" t="n">
        <x:v>57</x:v>
      </x:c>
      <x:c r="K47" s="18" t="n">
        <x:f>COUNTIF('02_Test_Cases'!$D$5:$D$357,A47)</x:f>
        <x:v>4</x:v>
      </x:c>
      <x:c r="L47" s="18" t="n">
        <x:f>COUNTIFS('02_Test_Cases'!$D$5:$D$357,A47,'02_Test_Cases'!$W$5:$W$357,"Backlog / AC")</x:f>
        <x:v>3</x:v>
      </x:c>
      <x:c r="M47" s="18" t="n">
        <x:f>COUNTIFS('02_Test_Cases'!$D$5:$D$357,A47,'02_Test_Cases'!$W$5:$W$357,"Bổ sung QA")</x:f>
        <x:v>1</x:v>
      </x:c>
      <x:c r="N47" s="18" t="str">
        <x:f>IF(L47&gt;=I47,"Đã phủ AC","Thiếu AC")</x:f>
        <x:v>Đã phủ AC</x:v>
      </x:c>
      <x:c r="O47" s="18" t="n">
        <x:f>COUNTIFS('02_Test_Cases'!$D$5:$D$357,A47,'02_Test_Cases'!$P$5:$P$357,"&lt;&gt;Chưa chạy",'02_Test_Cases'!$P$5:$P$357,"&lt;&gt;")</x:f>
        <x:v>0</x:v>
      </x:c>
      <x:c r="P47" s="18" t="str">
        <x:f>IF(O47=0,"Chưa chạy",IF(O47&lt;K47,"Đang chạy","Đã chạy hết"))</x:f>
        <x:v>Chưa chạy</x:v>
      </x:c>
    </x:row>
    <x:row r="48" ht="44" customHeight="1">
      <x:c r="A48" s="18" t="str">
        <x:v>S5-05</x:v>
      </x:c>
      <x:c r="B48" s="18" t="n">
        <x:v>5</x:v>
      </x:c>
      <x:c r="C48" s="18" t="str">
        <x:v>EP-05</x:v>
      </x:c>
      <x:c r="D48" s="18" t="str">
        <x:v>Hồ sơ &amp; Pipeline</x:v>
      </x:c>
      <x:c r="E48" s="18" t="str">
        <x:v>Nhân viên tuyển dụng</x:v>
      </x:c>
      <x:c r="F48" s="18" t="str">
        <x:v>Must</x:v>
      </x:c>
      <x:c r="G48" s="18" t="n">
        <x:v>5</x:v>
      </x:c>
      <x:c r="H48" s="18" t="str">
        <x:v>tìm kiếm và lọc ứng viên theo nhiều điều kiện</x:v>
      </x:c>
      <x:c r="I48" s="18" t="n">
        <x:v>3</x:v>
      </x:c>
      <x:c r="J48" s="18" t="n">
        <x:v>58</x:v>
      </x:c>
      <x:c r="K48" s="18" t="n">
        <x:f>COUNTIF('02_Test_Cases'!$D$5:$D$357,A48)</x:f>
        <x:v>4</x:v>
      </x:c>
      <x:c r="L48" s="18" t="n">
        <x:f>COUNTIFS('02_Test_Cases'!$D$5:$D$357,A48,'02_Test_Cases'!$W$5:$W$357,"Backlog / AC")</x:f>
        <x:v>3</x:v>
      </x:c>
      <x:c r="M48" s="18" t="n">
        <x:f>COUNTIFS('02_Test_Cases'!$D$5:$D$357,A48,'02_Test_Cases'!$W$5:$W$357,"Bổ sung QA")</x:f>
        <x:v>1</x:v>
      </x:c>
      <x:c r="N48" s="18" t="str">
        <x:f>IF(L48&gt;=I48,"Đã phủ AC","Thiếu AC")</x:f>
        <x:v>Đã phủ AC</x:v>
      </x:c>
      <x:c r="O48" s="18" t="n">
        <x:f>COUNTIFS('02_Test_Cases'!$D$5:$D$357,A48,'02_Test_Cases'!$P$5:$P$357,"&lt;&gt;Chưa chạy",'02_Test_Cases'!$P$5:$P$357,"&lt;&gt;")</x:f>
        <x:v>0</x:v>
      </x:c>
      <x:c r="P48" s="18" t="str">
        <x:f>IF(O48=0,"Chưa chạy",IF(O48&lt;K48,"Đang chạy","Đã chạy hết"))</x:f>
        <x:v>Chưa chạy</x:v>
      </x:c>
    </x:row>
    <x:row r="49" ht="44" customHeight="1">
      <x:c r="A49" s="18" t="str">
        <x:v>S5-06</x:v>
      </x:c>
      <x:c r="B49" s="18" t="n">
        <x:v>5</x:v>
      </x:c>
      <x:c r="C49" s="18" t="str">
        <x:v>EP-05</x:v>
      </x:c>
      <x:c r="D49" s="18" t="str">
        <x:v>Hồ sơ &amp; Pipeline</x:v>
      </x:c>
      <x:c r="E49" s="18" t="str">
        <x:v>Trưởng phòng Nhân sự</x:v>
      </x:c>
      <x:c r="F49" s="18" t="str">
        <x:v>Should</x:v>
      </x:c>
      <x:c r="G49" s="18" t="n">
        <x:v>5</x:v>
      </x:c>
      <x:c r="H49" s="18" t="str">
        <x:v>quản lý kho ứng viên tiềm năng</x:v>
      </x:c>
      <x:c r="I49" s="18" t="n">
        <x:v>3</x:v>
      </x:c>
      <x:c r="J49" s="18" t="n">
        <x:v>59</x:v>
      </x:c>
      <x:c r="K49" s="18" t="n">
        <x:f>COUNTIF('02_Test_Cases'!$D$5:$D$357,A49)</x:f>
        <x:v>4</x:v>
      </x:c>
      <x:c r="L49" s="18" t="n">
        <x:f>COUNTIFS('02_Test_Cases'!$D$5:$D$357,A49,'02_Test_Cases'!$W$5:$W$357,"Backlog / AC")</x:f>
        <x:v>3</x:v>
      </x:c>
      <x:c r="M49" s="18" t="n">
        <x:f>COUNTIFS('02_Test_Cases'!$D$5:$D$357,A49,'02_Test_Cases'!$W$5:$W$357,"Bổ sung QA")</x:f>
        <x:v>1</x:v>
      </x:c>
      <x:c r="N49" s="18" t="str">
        <x:f>IF(L49&gt;=I49,"Đã phủ AC","Thiếu AC")</x:f>
        <x:v>Đã phủ AC</x:v>
      </x:c>
      <x:c r="O49" s="18" t="n">
        <x:f>COUNTIFS('02_Test_Cases'!$D$5:$D$357,A49,'02_Test_Cases'!$P$5:$P$357,"&lt;&gt;Chưa chạy",'02_Test_Cases'!$P$5:$P$357,"&lt;&gt;")</x:f>
        <x:v>0</x:v>
      </x:c>
      <x:c r="P49" s="18" t="str">
        <x:f>IF(O49=0,"Chưa chạy",IF(O49&lt;K49,"Đang chạy","Đã chạy hết"))</x:f>
        <x:v>Chưa chạy</x:v>
      </x:c>
    </x:row>
    <x:row r="50" ht="44" customHeight="1">
      <x:c r="A50" s="18" t="str">
        <x:v>S5-07</x:v>
      </x:c>
      <x:c r="B50" s="18" t="n">
        <x:v>5</x:v>
      </x:c>
      <x:c r="C50" s="18" t="str">
        <x:v>EP-05</x:v>
      </x:c>
      <x:c r="D50" s="18" t="str">
        <x:v>Hồ sơ &amp; Pipeline</x:v>
      </x:c>
      <x:c r="E50" s="18" t="str">
        <x:v>Nhân viên tuyển dụng</x:v>
      </x:c>
      <x:c r="F50" s="18" t="str">
        <x:v>Must</x:v>
      </x:c>
      <x:c r="G50" s="18" t="n">
        <x:v>2</x:v>
      </x:c>
      <x:c r="H50" s="18" t="str">
        <x:v>xem nhật ký toàn bộ tương tác với một ứng viên</x:v>
      </x:c>
      <x:c r="I50" s="18" t="n">
        <x:v>2</x:v>
      </x:c>
      <x:c r="J50" s="18" t="n">
        <x:v>60</x:v>
      </x:c>
      <x:c r="K50" s="18" t="n">
        <x:f>COUNTIF('02_Test_Cases'!$D$5:$D$357,A50)</x:f>
        <x:v>3</x:v>
      </x:c>
      <x:c r="L50" s="18" t="n">
        <x:f>COUNTIFS('02_Test_Cases'!$D$5:$D$357,A50,'02_Test_Cases'!$W$5:$W$357,"Backlog / AC")</x:f>
        <x:v>2</x:v>
      </x:c>
      <x:c r="M50" s="18" t="n">
        <x:f>COUNTIFS('02_Test_Cases'!$D$5:$D$357,A50,'02_Test_Cases'!$W$5:$W$357,"Bổ sung QA")</x:f>
        <x:v>1</x:v>
      </x:c>
      <x:c r="N50" s="18" t="str">
        <x:f>IF(L50&gt;=I50,"Đã phủ AC","Thiếu AC")</x:f>
        <x:v>Đã phủ AC</x:v>
      </x:c>
      <x:c r="O50" s="18" t="n">
        <x:f>COUNTIFS('02_Test_Cases'!$D$5:$D$357,A50,'02_Test_Cases'!$P$5:$P$357,"&lt;&gt;Chưa chạy",'02_Test_Cases'!$P$5:$P$357,"&lt;&gt;")</x:f>
        <x:v>0</x:v>
      </x:c>
      <x:c r="P50" s="18" t="str">
        <x:f>IF(O50=0,"Chưa chạy",IF(O50&lt;K50,"Đang chạy","Đã chạy hết"))</x:f>
        <x:v>Chưa chạy</x:v>
      </x:c>
    </x:row>
    <x:row r="51" ht="44" customHeight="1">
      <x:c r="A51" s="18" t="str">
        <x:v>S5-08</x:v>
      </x:c>
      <x:c r="B51" s="18" t="n">
        <x:v>5</x:v>
      </x:c>
      <x:c r="C51" s="18" t="str">
        <x:v>EP-05</x:v>
      </x:c>
      <x:c r="D51" s="18" t="str">
        <x:v>Hồ sơ &amp; Pipeline</x:v>
      </x:c>
      <x:c r="E51" s="18" t="str">
        <x:v>Nhân viên tuyển dụng</x:v>
      </x:c>
      <x:c r="F51" s="18" t="str">
        <x:v>Must</x:v>
      </x:c>
      <x:c r="G51" s="18" t="n">
        <x:v>2</x:v>
      </x:c>
      <x:c r="H51" s="18" t="str">
        <x:v>thêm ứng viên thủ công vào một vị trí</x:v>
      </x:c>
      <x:c r="I51" s="18" t="n">
        <x:v>2</x:v>
      </x:c>
      <x:c r="J51" s="18" t="n">
        <x:v>61</x:v>
      </x:c>
      <x:c r="K51" s="18" t="n">
        <x:f>COUNTIF('02_Test_Cases'!$D$5:$D$357,A51)</x:f>
        <x:v>3</x:v>
      </x:c>
      <x:c r="L51" s="18" t="n">
        <x:f>COUNTIFS('02_Test_Cases'!$D$5:$D$357,A51,'02_Test_Cases'!$W$5:$W$357,"Backlog / AC")</x:f>
        <x:v>2</x:v>
      </x:c>
      <x:c r="M51" s="18" t="n">
        <x:f>COUNTIFS('02_Test_Cases'!$D$5:$D$357,A51,'02_Test_Cases'!$W$5:$W$357,"Bổ sung QA")</x:f>
        <x:v>1</x:v>
      </x:c>
      <x:c r="N51" s="18" t="str">
        <x:f>IF(L51&gt;=I51,"Đã phủ AC","Thiếu AC")</x:f>
        <x:v>Đã phủ AC</x:v>
      </x:c>
      <x:c r="O51" s="18" t="n">
        <x:f>COUNTIFS('02_Test_Cases'!$D$5:$D$357,A51,'02_Test_Cases'!$P$5:$P$357,"&lt;&gt;Chưa chạy",'02_Test_Cases'!$P$5:$P$357,"&lt;&gt;")</x:f>
        <x:v>0</x:v>
      </x:c>
      <x:c r="P51" s="18" t="str">
        <x:f>IF(O51=0,"Chưa chạy",IF(O51&lt;K51,"Đang chạy","Đã chạy hết"))</x:f>
        <x:v>Chưa chạy</x:v>
      </x:c>
    </x:row>
    <x:row r="52" ht="44" customHeight="1">
      <x:c r="A52" s="18" t="str">
        <x:v>S5-09</x:v>
      </x:c>
      <x:c r="B52" s="18" t="n">
        <x:v>5</x:v>
      </x:c>
      <x:c r="C52" s="18" t="str">
        <x:v>EP-05</x:v>
      </x:c>
      <x:c r="D52" s="18" t="str">
        <x:v>Hồ sơ &amp; Pipeline</x:v>
      </x:c>
      <x:c r="E52" s="18" t="str">
        <x:v>Nhân viên tuyển dụng</x:v>
      </x:c>
      <x:c r="F52" s="18" t="str">
        <x:v>Should</x:v>
      </x:c>
      <x:c r="G52" s="18" t="n">
        <x:v>5</x:v>
      </x:c>
      <x:c r="H52" s="18" t="str">
        <x:v>có hồ sơ mới được chấm điểm sàng lọc theo tiêu chí bắt buộc của vị trí</x:v>
      </x:c>
      <x:c r="I52" s="18" t="n">
        <x:v>3</x:v>
      </x:c>
      <x:c r="J52" s="18" t="n">
        <x:v>62</x:v>
      </x:c>
      <x:c r="K52" s="18" t="n">
        <x:f>COUNTIF('02_Test_Cases'!$D$5:$D$357,A52)</x:f>
        <x:v>4</x:v>
      </x:c>
      <x:c r="L52" s="18" t="n">
        <x:f>COUNTIFS('02_Test_Cases'!$D$5:$D$357,A52,'02_Test_Cases'!$W$5:$W$357,"Backlog / AC")</x:f>
        <x:v>3</x:v>
      </x:c>
      <x:c r="M52" s="18" t="n">
        <x:f>COUNTIFS('02_Test_Cases'!$D$5:$D$357,A52,'02_Test_Cases'!$W$5:$W$357,"Bổ sung QA")</x:f>
        <x:v>1</x:v>
      </x:c>
      <x:c r="N52" s="18" t="str">
        <x:f>IF(L52&gt;=I52,"Đã phủ AC","Thiếu AC")</x:f>
        <x:v>Đã phủ AC</x:v>
      </x:c>
      <x:c r="O52" s="18" t="n">
        <x:f>COUNTIFS('02_Test_Cases'!$D$5:$D$357,A52,'02_Test_Cases'!$P$5:$P$357,"&lt;&gt;Chưa chạy",'02_Test_Cases'!$P$5:$P$357,"&lt;&gt;")</x:f>
        <x:v>0</x:v>
      </x:c>
      <x:c r="P52" s="18" t="str">
        <x:f>IF(O52=0,"Chưa chạy",IF(O52&lt;K52,"Đang chạy","Đã chạy hết"))</x:f>
        <x:v>Chưa chạy</x:v>
      </x:c>
    </x:row>
    <x:row r="53" ht="44" customHeight="1">
      <x:c r="A53" s="18" t="str">
        <x:v>S5-10</x:v>
      </x:c>
      <x:c r="B53" s="18" t="n">
        <x:v>5</x:v>
      </x:c>
      <x:c r="C53" s="18" t="str">
        <x:v>EP-08</x:v>
      </x:c>
      <x:c r="D53" s="18" t="str">
        <x:v>Thông báo &amp; Email</x:v>
      </x:c>
      <x:c r="E53" s="18" t="str">
        <x:v>Nhân viên tuyển dụng</x:v>
      </x:c>
      <x:c r="F53" s="18" t="str">
        <x:v>Should</x:v>
      </x:c>
      <x:c r="G53" s="18" t="n">
        <x:v>3</x:v>
      </x:c>
      <x:c r="H53" s="18" t="str">
        <x:v>được nhắc khi công việc quá hạn SLA</x:v>
      </x:c>
      <x:c r="I53" s="18" t="n">
        <x:v>3</x:v>
      </x:c>
      <x:c r="J53" s="18" t="n">
        <x:v>63</x:v>
      </x:c>
      <x:c r="K53" s="18" t="n">
        <x:f>COUNTIF('02_Test_Cases'!$D$5:$D$357,A53)</x:f>
        <x:v>4</x:v>
      </x:c>
      <x:c r="L53" s="18" t="n">
        <x:f>COUNTIFS('02_Test_Cases'!$D$5:$D$357,A53,'02_Test_Cases'!$W$5:$W$357,"Backlog / AC")</x:f>
        <x:v>3</x:v>
      </x:c>
      <x:c r="M53" s="18" t="n">
        <x:f>COUNTIFS('02_Test_Cases'!$D$5:$D$357,A53,'02_Test_Cases'!$W$5:$W$357,"Bổ sung QA")</x:f>
        <x:v>1</x:v>
      </x:c>
      <x:c r="N53" s="18" t="str">
        <x:f>IF(L53&gt;=I53,"Đã phủ AC","Thiếu AC")</x:f>
        <x:v>Đã phủ AC</x:v>
      </x:c>
      <x:c r="O53" s="18" t="n">
        <x:f>COUNTIFS('02_Test_Cases'!$D$5:$D$357,A53,'02_Test_Cases'!$P$5:$P$357,"&lt;&gt;Chưa chạy",'02_Test_Cases'!$P$5:$P$357,"&lt;&gt;")</x:f>
        <x:v>0</x:v>
      </x:c>
      <x:c r="P53" s="18" t="str">
        <x:f>IF(O53=0,"Chưa chạy",IF(O53&lt;K53,"Đang chạy","Đã chạy hết"))</x:f>
        <x:v>Chưa chạy</x:v>
      </x:c>
    </x:row>
    <x:row r="54" ht="44" customHeight="1">
      <x:c r="A54" s="18" t="str">
        <x:v>S6-01</x:v>
      </x:c>
      <x:c r="B54" s="18" t="n">
        <x:v>6</x:v>
      </x:c>
      <x:c r="C54" s="18" t="str">
        <x:v>EP-05</x:v>
      </x:c>
      <x:c r="D54" s="18" t="str">
        <x:v>Hồ sơ &amp; Pipeline</x:v>
      </x:c>
      <x:c r="E54" s="18" t="str">
        <x:v>Nhân viên tuyển dụng</x:v>
      </x:c>
      <x:c r="F54" s="18" t="str">
        <x:v>Should</x:v>
      </x:c>
      <x:c r="G54" s="18" t="n">
        <x:v>3</x:v>
      </x:c>
      <x:c r="H54" s="18" t="str">
        <x:v>xuất danh sách ứng viên ra tệp Excel</x:v>
      </x:c>
      <x:c r="I54" s="18" t="n">
        <x:v>3</x:v>
      </x:c>
      <x:c r="J54" s="18" t="n">
        <x:v>66</x:v>
      </x:c>
      <x:c r="K54" s="18" t="n">
        <x:f>COUNTIF('02_Test_Cases'!$D$5:$D$357,A54)</x:f>
        <x:v>4</x:v>
      </x:c>
      <x:c r="L54" s="18" t="n">
        <x:f>COUNTIFS('02_Test_Cases'!$D$5:$D$357,A54,'02_Test_Cases'!$W$5:$W$357,"Backlog / AC")</x:f>
        <x:v>3</x:v>
      </x:c>
      <x:c r="M54" s="18" t="n">
        <x:f>COUNTIFS('02_Test_Cases'!$D$5:$D$357,A54,'02_Test_Cases'!$W$5:$W$357,"Bổ sung QA")</x:f>
        <x:v>1</x:v>
      </x:c>
      <x:c r="N54" s="18" t="str">
        <x:f>IF(L54&gt;=I54,"Đã phủ AC","Thiếu AC")</x:f>
        <x:v>Đã phủ AC</x:v>
      </x:c>
      <x:c r="O54" s="18" t="n">
        <x:f>COUNTIFS('02_Test_Cases'!$D$5:$D$357,A54,'02_Test_Cases'!$P$5:$P$357,"&lt;&gt;Chưa chạy",'02_Test_Cases'!$P$5:$P$357,"&lt;&gt;")</x:f>
        <x:v>0</x:v>
      </x:c>
      <x:c r="P54" s="18" t="str">
        <x:f>IF(O54=0,"Chưa chạy",IF(O54&lt;K54,"Đang chạy","Đã chạy hết"))</x:f>
        <x:v>Chưa chạy</x:v>
      </x:c>
    </x:row>
    <x:row r="55" ht="44" customHeight="1">
      <x:c r="A55" s="18" t="str">
        <x:v>S6-02</x:v>
      </x:c>
      <x:c r="B55" s="18" t="n">
        <x:v>6</x:v>
      </x:c>
      <x:c r="C55" s="18" t="str">
        <x:v>EP-06</x:v>
      </x:c>
      <x:c r="D55" s="18" t="str">
        <x:v>Phỏng vấn &amp; Đánh giá</x:v>
      </x:c>
      <x:c r="E55" s="18" t="str">
        <x:v>Nhân viên tuyển dụng</x:v>
      </x:c>
      <x:c r="F55" s="18" t="str">
        <x:v>Must</x:v>
      </x:c>
      <x:c r="G55" s="18" t="n">
        <x:v>8</x:v>
      </x:c>
      <x:c r="H55" s="18" t="str">
        <x:v>đặt lịch phỏng vấn cho một ứng viên</x:v>
      </x:c>
      <x:c r="I55" s="18" t="n">
        <x:v>4</x:v>
      </x:c>
      <x:c r="J55" s="18" t="n">
        <x:v>67</x:v>
      </x:c>
      <x:c r="K55" s="18" t="n">
        <x:f>COUNTIF('02_Test_Cases'!$D$5:$D$357,A55)</x:f>
        <x:v>5</x:v>
      </x:c>
      <x:c r="L55" s="18" t="n">
        <x:f>COUNTIFS('02_Test_Cases'!$D$5:$D$357,A55,'02_Test_Cases'!$W$5:$W$357,"Backlog / AC")</x:f>
        <x:v>4</x:v>
      </x:c>
      <x:c r="M55" s="18" t="n">
        <x:f>COUNTIFS('02_Test_Cases'!$D$5:$D$357,A55,'02_Test_Cases'!$W$5:$W$357,"Bổ sung QA")</x:f>
        <x:v>1</x:v>
      </x:c>
      <x:c r="N55" s="18" t="str">
        <x:f>IF(L55&gt;=I55,"Đã phủ AC","Thiếu AC")</x:f>
        <x:v>Đã phủ AC</x:v>
      </x:c>
      <x:c r="O55" s="18" t="n">
        <x:f>COUNTIFS('02_Test_Cases'!$D$5:$D$357,A55,'02_Test_Cases'!$P$5:$P$357,"&lt;&gt;Chưa chạy",'02_Test_Cases'!$P$5:$P$357,"&lt;&gt;")</x:f>
        <x:v>0</x:v>
      </x:c>
      <x:c r="P55" s="18" t="str">
        <x:f>IF(O55=0,"Chưa chạy",IF(O55&lt;K55,"Đang chạy","Đã chạy hết"))</x:f>
        <x:v>Chưa chạy</x:v>
      </x:c>
    </x:row>
    <x:row r="56" ht="44" customHeight="1">
      <x:c r="A56" s="18" t="str">
        <x:v>S6-03</x:v>
      </x:c>
      <x:c r="B56" s="18" t="n">
        <x:v>6</x:v>
      </x:c>
      <x:c r="C56" s="18" t="str">
        <x:v>EP-06</x:v>
      </x:c>
      <x:c r="D56" s="18" t="str">
        <x:v>Phỏng vấn &amp; Đánh giá</x:v>
      </x:c>
      <x:c r="E56" s="18" t="str">
        <x:v>Nhân viên tuyển dụng</x:v>
      </x:c>
      <x:c r="F56" s="18" t="str">
        <x:v>Should</x:v>
      </x:c>
      <x:c r="G56" s="18" t="n">
        <x:v>5</x:v>
      </x:c>
      <x:c r="H56" s="18" t="str">
        <x:v>đặt lịch hàng loạt cho nhiều ứng viên trong cùng một vòng</x:v>
      </x:c>
      <x:c r="I56" s="18" t="n">
        <x:v>3</x:v>
      </x:c>
      <x:c r="J56" s="18" t="n">
        <x:v>68</x:v>
      </x:c>
      <x:c r="K56" s="18" t="n">
        <x:f>COUNTIF('02_Test_Cases'!$D$5:$D$357,A56)</x:f>
        <x:v>4</x:v>
      </x:c>
      <x:c r="L56" s="18" t="n">
        <x:f>COUNTIFS('02_Test_Cases'!$D$5:$D$357,A56,'02_Test_Cases'!$W$5:$W$357,"Backlog / AC")</x:f>
        <x:v>3</x:v>
      </x:c>
      <x:c r="M56" s="18" t="n">
        <x:f>COUNTIFS('02_Test_Cases'!$D$5:$D$357,A56,'02_Test_Cases'!$W$5:$W$357,"Bổ sung QA")</x:f>
        <x:v>1</x:v>
      </x:c>
      <x:c r="N56" s="18" t="str">
        <x:f>IF(L56&gt;=I56,"Đã phủ AC","Thiếu AC")</x:f>
        <x:v>Đã phủ AC</x:v>
      </x:c>
      <x:c r="O56" s="18" t="n">
        <x:f>COUNTIFS('02_Test_Cases'!$D$5:$D$357,A56,'02_Test_Cases'!$P$5:$P$357,"&lt;&gt;Chưa chạy",'02_Test_Cases'!$P$5:$P$357,"&lt;&gt;")</x:f>
        <x:v>0</x:v>
      </x:c>
      <x:c r="P56" s="18" t="str">
        <x:f>IF(O56=0,"Chưa chạy",IF(O56&lt;K56,"Đang chạy","Đã chạy hết"))</x:f>
        <x:v>Chưa chạy</x:v>
      </x:c>
    </x:row>
    <x:row r="57" ht="44" customHeight="1">
      <x:c r="A57" s="18" t="str">
        <x:v>S6-04</x:v>
      </x:c>
      <x:c r="B57" s="18" t="n">
        <x:v>6</x:v>
      </x:c>
      <x:c r="C57" s="18" t="str">
        <x:v>EP-06</x:v>
      </x:c>
      <x:c r="D57" s="18" t="str">
        <x:v>Phỏng vấn &amp; Đánh giá</x:v>
      </x:c>
      <x:c r="E57" s="18" t="str">
        <x:v>Nhân viên tuyển dụng</x:v>
      </x:c>
      <x:c r="F57" s="18" t="str">
        <x:v>Must</x:v>
      </x:c>
      <x:c r="G57" s="18" t="n">
        <x:v>5</x:v>
      </x:c>
      <x:c r="H57" s="18" t="str">
        <x:v>được cảnh báo khi người phỏng vấn hoặc phòng họp bị trùng lịch</x:v>
      </x:c>
      <x:c r="I57" s="18" t="n">
        <x:v>3</x:v>
      </x:c>
      <x:c r="J57" s="18" t="n">
        <x:v>69</x:v>
      </x:c>
      <x:c r="K57" s="18" t="n">
        <x:f>COUNTIF('02_Test_Cases'!$D$5:$D$357,A57)</x:f>
        <x:v>4</x:v>
      </x:c>
      <x:c r="L57" s="18" t="n">
        <x:f>COUNTIFS('02_Test_Cases'!$D$5:$D$357,A57,'02_Test_Cases'!$W$5:$W$357,"Backlog / AC")</x:f>
        <x:v>3</x:v>
      </x:c>
      <x:c r="M57" s="18" t="n">
        <x:f>COUNTIFS('02_Test_Cases'!$D$5:$D$357,A57,'02_Test_Cases'!$W$5:$W$357,"Bổ sung QA")</x:f>
        <x:v>1</x:v>
      </x:c>
      <x:c r="N57" s="18" t="str">
        <x:f>IF(L57&gt;=I57,"Đã phủ AC","Thiếu AC")</x:f>
        <x:v>Đã phủ AC</x:v>
      </x:c>
      <x:c r="O57" s="18" t="n">
        <x:f>COUNTIFS('02_Test_Cases'!$D$5:$D$357,A57,'02_Test_Cases'!$P$5:$P$357,"&lt;&gt;Chưa chạy",'02_Test_Cases'!$P$5:$P$357,"&lt;&gt;")</x:f>
        <x:v>0</x:v>
      </x:c>
      <x:c r="P57" s="18" t="str">
        <x:f>IF(O57=0,"Chưa chạy",IF(O57&lt;K57,"Đang chạy","Đã chạy hết"))</x:f>
        <x:v>Chưa chạy</x:v>
      </x:c>
    </x:row>
    <x:row r="58" ht="44" customHeight="1">
      <x:c r="A58" s="18" t="str">
        <x:v>S6-05</x:v>
      </x:c>
      <x:c r="B58" s="18" t="n">
        <x:v>6</x:v>
      </x:c>
      <x:c r="C58" s="18" t="str">
        <x:v>EP-06</x:v>
      </x:c>
      <x:c r="D58" s="18" t="str">
        <x:v>Phỏng vấn &amp; Đánh giá</x:v>
      </x:c>
      <x:c r="E58" s="18" t="str">
        <x:v>Ứng viên</x:v>
      </x:c>
      <x:c r="F58" s="18" t="str">
        <x:v>Must</x:v>
      </x:c>
      <x:c r="G58" s="18" t="n">
        <x:v>5</x:v>
      </x:c>
      <x:c r="H58" s="18" t="str">
        <x:v>nhận thư mời phỏng vấn và xác nhận tham dự</x:v>
      </x:c>
      <x:c r="I58" s="18" t="n">
        <x:v>4</x:v>
      </x:c>
      <x:c r="J58" s="18" t="n">
        <x:v>70</x:v>
      </x:c>
      <x:c r="K58" s="18" t="n">
        <x:f>COUNTIF('02_Test_Cases'!$D$5:$D$357,A58)</x:f>
        <x:v>5</x:v>
      </x:c>
      <x:c r="L58" s="18" t="n">
        <x:f>COUNTIFS('02_Test_Cases'!$D$5:$D$357,A58,'02_Test_Cases'!$W$5:$W$357,"Backlog / AC")</x:f>
        <x:v>4</x:v>
      </x:c>
      <x:c r="M58" s="18" t="n">
        <x:f>COUNTIFS('02_Test_Cases'!$D$5:$D$357,A58,'02_Test_Cases'!$W$5:$W$357,"Bổ sung QA")</x:f>
        <x:v>1</x:v>
      </x:c>
      <x:c r="N58" s="18" t="str">
        <x:f>IF(L58&gt;=I58,"Đã phủ AC","Thiếu AC")</x:f>
        <x:v>Đã phủ AC</x:v>
      </x:c>
      <x:c r="O58" s="18" t="n">
        <x:f>COUNTIFS('02_Test_Cases'!$D$5:$D$357,A58,'02_Test_Cases'!$P$5:$P$357,"&lt;&gt;Chưa chạy",'02_Test_Cases'!$P$5:$P$357,"&lt;&gt;")</x:f>
        <x:v>0</x:v>
      </x:c>
      <x:c r="P58" s="18" t="str">
        <x:f>IF(O58=0,"Chưa chạy",IF(O58&lt;K58,"Đang chạy","Đã chạy hết"))</x:f>
        <x:v>Chưa chạy</x:v>
      </x:c>
    </x:row>
    <x:row r="59" ht="44" customHeight="1">
      <x:c r="A59" s="18" t="str">
        <x:v>S6-06</x:v>
      </x:c>
      <x:c r="B59" s="18" t="n">
        <x:v>6</x:v>
      </x:c>
      <x:c r="C59" s="18" t="str">
        <x:v>EP-06</x:v>
      </x:c>
      <x:c r="D59" s="18" t="str">
        <x:v>Phỏng vấn &amp; Đánh giá</x:v>
      </x:c>
      <x:c r="E59" s="18" t="str">
        <x:v>Nhân viên tuyển dụng</x:v>
      </x:c>
      <x:c r="F59" s="18" t="str">
        <x:v>Must</x:v>
      </x:c>
      <x:c r="G59" s="18" t="n">
        <x:v>3</x:v>
      </x:c>
      <x:c r="H59" s="18" t="str">
        <x:v>dời hoặc huỷ một buổi phỏng vấn</x:v>
      </x:c>
      <x:c r="I59" s="18" t="n">
        <x:v>4</x:v>
      </x:c>
      <x:c r="J59" s="18" t="n">
        <x:v>71</x:v>
      </x:c>
      <x:c r="K59" s="18" t="n">
        <x:f>COUNTIF('02_Test_Cases'!$D$5:$D$357,A59)</x:f>
        <x:v>5</x:v>
      </x:c>
      <x:c r="L59" s="18" t="n">
        <x:f>COUNTIFS('02_Test_Cases'!$D$5:$D$357,A59,'02_Test_Cases'!$W$5:$W$357,"Backlog / AC")</x:f>
        <x:v>4</x:v>
      </x:c>
      <x:c r="M59" s="18" t="n">
        <x:f>COUNTIFS('02_Test_Cases'!$D$5:$D$357,A59,'02_Test_Cases'!$W$5:$W$357,"Bổ sung QA")</x:f>
        <x:v>1</x:v>
      </x:c>
      <x:c r="N59" s="18" t="str">
        <x:f>IF(L59&gt;=I59,"Đã phủ AC","Thiếu AC")</x:f>
        <x:v>Đã phủ AC</x:v>
      </x:c>
      <x:c r="O59" s="18" t="n">
        <x:f>COUNTIFS('02_Test_Cases'!$D$5:$D$357,A59,'02_Test_Cases'!$P$5:$P$357,"&lt;&gt;Chưa chạy",'02_Test_Cases'!$P$5:$P$357,"&lt;&gt;")</x:f>
        <x:v>0</x:v>
      </x:c>
      <x:c r="P59" s="18" t="str">
        <x:f>IF(O59=0,"Chưa chạy",IF(O59&lt;K59,"Đang chạy","Đã chạy hết"))</x:f>
        <x:v>Chưa chạy</x:v>
      </x:c>
    </x:row>
    <x:row r="60" ht="44" customHeight="1">
      <x:c r="A60" s="18" t="str">
        <x:v>S6-07</x:v>
      </x:c>
      <x:c r="B60" s="18" t="n">
        <x:v>6</x:v>
      </x:c>
      <x:c r="C60" s="18" t="str">
        <x:v>EP-06</x:v>
      </x:c>
      <x:c r="D60" s="18" t="str">
        <x:v>Phỏng vấn &amp; Đánh giá</x:v>
      </x:c>
      <x:c r="E60" s="18" t="str">
        <x:v>Trưởng phòng Nhân sự</x:v>
      </x:c>
      <x:c r="F60" s="18" t="str">
        <x:v>Must</x:v>
      </x:c>
      <x:c r="G60" s="18" t="n">
        <x:v>8</x:v>
      </x:c>
      <x:c r="H60" s="18" t="str">
        <x:v>có phiếu đánh giá sinh tự động theo khung năng lực của chức danh</x:v>
      </x:c>
      <x:c r="I60" s="18" t="n">
        <x:v>4</x:v>
      </x:c>
      <x:c r="J60" s="18" t="n">
        <x:v>72</x:v>
      </x:c>
      <x:c r="K60" s="18" t="n">
        <x:f>COUNTIF('02_Test_Cases'!$D$5:$D$357,A60)</x:f>
        <x:v>5</x:v>
      </x:c>
      <x:c r="L60" s="18" t="n">
        <x:f>COUNTIFS('02_Test_Cases'!$D$5:$D$357,A60,'02_Test_Cases'!$W$5:$W$357,"Backlog / AC")</x:f>
        <x:v>4</x:v>
      </x:c>
      <x:c r="M60" s="18" t="n">
        <x:f>COUNTIFS('02_Test_Cases'!$D$5:$D$357,A60,'02_Test_Cases'!$W$5:$W$357,"Bổ sung QA")</x:f>
        <x:v>1</x:v>
      </x:c>
      <x:c r="N60" s="18" t="str">
        <x:f>IF(L60&gt;=I60,"Đã phủ AC","Thiếu AC")</x:f>
        <x:v>Đã phủ AC</x:v>
      </x:c>
      <x:c r="O60" s="18" t="n">
        <x:f>COUNTIFS('02_Test_Cases'!$D$5:$D$357,A60,'02_Test_Cases'!$P$5:$P$357,"&lt;&gt;Chưa chạy",'02_Test_Cases'!$P$5:$P$357,"&lt;&gt;")</x:f>
        <x:v>0</x:v>
      </x:c>
      <x:c r="P60" s="18" t="str">
        <x:f>IF(O60=0,"Chưa chạy",IF(O60&lt;K60,"Đang chạy","Đã chạy hết"))</x:f>
        <x:v>Chưa chạy</x:v>
      </x:c>
    </x:row>
    <x:row r="61" ht="44" customHeight="1">
      <x:c r="A61" s="18" t="str">
        <x:v>S6-08</x:v>
      </x:c>
      <x:c r="B61" s="18" t="n">
        <x:v>6</x:v>
      </x:c>
      <x:c r="C61" s="18" t="str">
        <x:v>EP-06</x:v>
      </x:c>
      <x:c r="D61" s="18" t="str">
        <x:v>Phỏng vấn &amp; Đánh giá</x:v>
      </x:c>
      <x:c r="E61" s="18" t="str">
        <x:v>Người phỏng vấn</x:v>
      </x:c>
      <x:c r="F61" s="18" t="str">
        <x:v>Must</x:v>
      </x:c>
      <x:c r="G61" s="18" t="n">
        <x:v>3</x:v>
      </x:c>
      <x:c r="H61" s="18" t="str">
        <x:v>nộp phiếu đánh giá sau buổi phỏng vấn</x:v>
      </x:c>
      <x:c r="I61" s="18" t="n">
        <x:v>4</x:v>
      </x:c>
      <x:c r="J61" s="18" t="n">
        <x:v>73</x:v>
      </x:c>
      <x:c r="K61" s="18" t="n">
        <x:f>COUNTIF('02_Test_Cases'!$D$5:$D$357,A61)</x:f>
        <x:v>5</x:v>
      </x:c>
      <x:c r="L61" s="18" t="n">
        <x:f>COUNTIFS('02_Test_Cases'!$D$5:$D$357,A61,'02_Test_Cases'!$W$5:$W$357,"Backlog / AC")</x:f>
        <x:v>4</x:v>
      </x:c>
      <x:c r="M61" s="18" t="n">
        <x:f>COUNTIFS('02_Test_Cases'!$D$5:$D$357,A61,'02_Test_Cases'!$W$5:$W$357,"Bổ sung QA")</x:f>
        <x:v>1</x:v>
      </x:c>
      <x:c r="N61" s="18" t="str">
        <x:f>IF(L61&gt;=I61,"Đã phủ AC","Thiếu AC")</x:f>
        <x:v>Đã phủ AC</x:v>
      </x:c>
      <x:c r="O61" s="18" t="n">
        <x:f>COUNTIFS('02_Test_Cases'!$D$5:$D$357,A61,'02_Test_Cases'!$P$5:$P$357,"&lt;&gt;Chưa chạy",'02_Test_Cases'!$P$5:$P$357,"&lt;&gt;")</x:f>
        <x:v>0</x:v>
      </x:c>
      <x:c r="P61" s="18" t="str">
        <x:f>IF(O61=0,"Chưa chạy",IF(O61&lt;K61,"Đang chạy","Đã chạy hết"))</x:f>
        <x:v>Chưa chạy</x:v>
      </x:c>
    </x:row>
    <x:row r="62" ht="44" customHeight="1">
      <x:c r="A62" s="18" t="str">
        <x:v>S6-09</x:v>
      </x:c>
      <x:c r="B62" s="18" t="n">
        <x:v>6</x:v>
      </x:c>
      <x:c r="C62" s="18" t="str">
        <x:v>EP-06</x:v>
      </x:c>
      <x:c r="D62" s="18" t="str">
        <x:v>Phỏng vấn &amp; Đánh giá</x:v>
      </x:c>
      <x:c r="E62" s="18" t="str">
        <x:v>Trưởng bộ phận</x:v>
      </x:c>
      <x:c r="F62" s="18" t="str">
        <x:v>Should</x:v>
      </x:c>
      <x:c r="G62" s="18" t="n">
        <x:v>3</x:v>
      </x:c>
      <x:c r="H62" s="18" t="str">
        <x:v>so sánh các ứng viên của cùng một vị trí theo điểm đánh giá</x:v>
      </x:c>
      <x:c r="I62" s="18" t="n">
        <x:v>3</x:v>
      </x:c>
      <x:c r="J62" s="18" t="n">
        <x:v>74</x:v>
      </x:c>
      <x:c r="K62" s="18" t="n">
        <x:f>COUNTIF('02_Test_Cases'!$D$5:$D$357,A62)</x:f>
        <x:v>4</x:v>
      </x:c>
      <x:c r="L62" s="18" t="n">
        <x:f>COUNTIFS('02_Test_Cases'!$D$5:$D$357,A62,'02_Test_Cases'!$W$5:$W$357,"Backlog / AC")</x:f>
        <x:v>3</x:v>
      </x:c>
      <x:c r="M62" s="18" t="n">
        <x:f>COUNTIFS('02_Test_Cases'!$D$5:$D$357,A62,'02_Test_Cases'!$W$5:$W$357,"Bổ sung QA")</x:f>
        <x:v>1</x:v>
      </x:c>
      <x:c r="N62" s="18" t="str">
        <x:f>IF(L62&gt;=I62,"Đã phủ AC","Thiếu AC")</x:f>
        <x:v>Đã phủ AC</x:v>
      </x:c>
      <x:c r="O62" s="18" t="n">
        <x:f>COUNTIFS('02_Test_Cases'!$D$5:$D$357,A62,'02_Test_Cases'!$P$5:$P$357,"&lt;&gt;Chưa chạy",'02_Test_Cases'!$P$5:$P$357,"&lt;&gt;")</x:f>
        <x:v>0</x:v>
      </x:c>
      <x:c r="P62" s="18" t="str">
        <x:f>IF(O62=0,"Chưa chạy",IF(O62&lt;K62,"Đang chạy","Đã chạy hết"))</x:f>
        <x:v>Chưa chạy</x:v>
      </x:c>
    </x:row>
    <x:row r="63" ht="44" customHeight="1">
      <x:c r="A63" s="18" t="str">
        <x:v>S7-01</x:v>
      </x:c>
      <x:c r="B63" s="18" t="n">
        <x:v>7</x:v>
      </x:c>
      <x:c r="C63" s="18" t="str">
        <x:v>EP-06</x:v>
      </x:c>
      <x:c r="D63" s="18" t="str">
        <x:v>Phỏng vấn &amp; Đánh giá</x:v>
      </x:c>
      <x:c r="E63" s="18" t="str">
        <x:v>Người phỏng vấn</x:v>
      </x:c>
      <x:c r="F63" s="18" t="str">
        <x:v>Must</x:v>
      </x:c>
      <x:c r="G63" s="18" t="n">
        <x:v>3</x:v>
      </x:c>
      <x:c r="H63" s="18" t="str">
        <x:v>xem lịch phỏng vấn của riêng mình</x:v>
      </x:c>
      <x:c r="I63" s="18" t="n">
        <x:v>3</x:v>
      </x:c>
      <x:c r="J63" s="18" t="n">
        <x:v>77</x:v>
      </x:c>
      <x:c r="K63" s="18" t="n">
        <x:f>COUNTIF('02_Test_Cases'!$D$5:$D$357,A63)</x:f>
        <x:v>4</x:v>
      </x:c>
      <x:c r="L63" s="18" t="n">
        <x:f>COUNTIFS('02_Test_Cases'!$D$5:$D$357,A63,'02_Test_Cases'!$W$5:$W$357,"Backlog / AC")</x:f>
        <x:v>3</x:v>
      </x:c>
      <x:c r="M63" s="18" t="n">
        <x:f>COUNTIFS('02_Test_Cases'!$D$5:$D$357,A63,'02_Test_Cases'!$W$5:$W$357,"Bổ sung QA")</x:f>
        <x:v>1</x:v>
      </x:c>
      <x:c r="N63" s="18" t="str">
        <x:f>IF(L63&gt;=I63,"Đã phủ AC","Thiếu AC")</x:f>
        <x:v>Đã phủ AC</x:v>
      </x:c>
      <x:c r="O63" s="18" t="n">
        <x:f>COUNTIFS('02_Test_Cases'!$D$5:$D$357,A63,'02_Test_Cases'!$P$5:$P$357,"&lt;&gt;Chưa chạy",'02_Test_Cases'!$P$5:$P$357,"&lt;&gt;")</x:f>
        <x:v>0</x:v>
      </x:c>
      <x:c r="P63" s="18" t="str">
        <x:f>IF(O63=0,"Chưa chạy",IF(O63&lt;K63,"Đang chạy","Đã chạy hết"))</x:f>
        <x:v>Chưa chạy</x:v>
      </x:c>
    </x:row>
    <x:row r="64" ht="44" customHeight="1">
      <x:c r="A64" s="18" t="str">
        <x:v>S7-02</x:v>
      </x:c>
      <x:c r="B64" s="18" t="n">
        <x:v>7</x:v>
      </x:c>
      <x:c r="C64" s="18" t="str">
        <x:v>EP-06</x:v>
      </x:c>
      <x:c r="D64" s="18" t="str">
        <x:v>Phỏng vấn &amp; Đánh giá</x:v>
      </x:c>
      <x:c r="E64" s="18" t="str">
        <x:v>Người phỏng vấn</x:v>
      </x:c>
      <x:c r="F64" s="18" t="str">
        <x:v>Should</x:v>
      </x:c>
      <x:c r="G64" s="18" t="n">
        <x:v>3</x:v>
      </x:c>
      <x:c r="H64" s="18" t="str">
        <x:v>xem bộ câu hỏi gợi ý ngay trong màn hình phỏng vấn</x:v>
      </x:c>
      <x:c r="I64" s="18" t="n">
        <x:v>3</x:v>
      </x:c>
      <x:c r="J64" s="18" t="n">
        <x:v>78</x:v>
      </x:c>
      <x:c r="K64" s="18" t="n">
        <x:f>COUNTIF('02_Test_Cases'!$D$5:$D$357,A64)</x:f>
        <x:v>4</x:v>
      </x:c>
      <x:c r="L64" s="18" t="n">
        <x:f>COUNTIFS('02_Test_Cases'!$D$5:$D$357,A64,'02_Test_Cases'!$W$5:$W$357,"Backlog / AC")</x:f>
        <x:v>3</x:v>
      </x:c>
      <x:c r="M64" s="18" t="n">
        <x:f>COUNTIFS('02_Test_Cases'!$D$5:$D$357,A64,'02_Test_Cases'!$W$5:$W$357,"Bổ sung QA")</x:f>
        <x:v>1</x:v>
      </x:c>
      <x:c r="N64" s="18" t="str">
        <x:f>IF(L64&gt;=I64,"Đã phủ AC","Thiếu AC")</x:f>
        <x:v>Đã phủ AC</x:v>
      </x:c>
      <x:c r="O64" s="18" t="n">
        <x:f>COUNTIFS('02_Test_Cases'!$D$5:$D$357,A64,'02_Test_Cases'!$P$5:$P$357,"&lt;&gt;Chưa chạy",'02_Test_Cases'!$P$5:$P$357,"&lt;&gt;")</x:f>
        <x:v>0</x:v>
      </x:c>
      <x:c r="P64" s="18" t="str">
        <x:f>IF(O64=0,"Chưa chạy",IF(O64&lt;K64,"Đang chạy","Đã chạy hết"))</x:f>
        <x:v>Chưa chạy</x:v>
      </x:c>
    </x:row>
    <x:row r="65" ht="44" customHeight="1">
      <x:c r="A65" s="18" t="str">
        <x:v>S7-03</x:v>
      </x:c>
      <x:c r="B65" s="18" t="n">
        <x:v>7</x:v>
      </x:c>
      <x:c r="C65" s="18" t="str">
        <x:v>EP-06</x:v>
      </x:c>
      <x:c r="D65" s="18" t="str">
        <x:v>Phỏng vấn &amp; Đánh giá</x:v>
      </x:c>
      <x:c r="E65" s="18" t="str">
        <x:v>Trưởng bộ phận</x:v>
      </x:c>
      <x:c r="F65" s="18" t="str">
        <x:v>Must</x:v>
      </x:c>
      <x:c r="G65" s="18" t="n">
        <x:v>5</x:v>
      </x:c>
      <x:c r="H65" s="18" t="str">
        <x:v>tổng hợp kết quả nhiều vòng và ra quyết định tuyển</x:v>
      </x:c>
      <x:c r="I65" s="18" t="n">
        <x:v>4</x:v>
      </x:c>
      <x:c r="J65" s="18" t="n">
        <x:v>79</x:v>
      </x:c>
      <x:c r="K65" s="18" t="n">
        <x:f>COUNTIF('02_Test_Cases'!$D$5:$D$357,A65)</x:f>
        <x:v>5</x:v>
      </x:c>
      <x:c r="L65" s="18" t="n">
        <x:f>COUNTIFS('02_Test_Cases'!$D$5:$D$357,A65,'02_Test_Cases'!$W$5:$W$357,"Backlog / AC")</x:f>
        <x:v>4</x:v>
      </x:c>
      <x:c r="M65" s="18" t="n">
        <x:f>COUNTIFS('02_Test_Cases'!$D$5:$D$357,A65,'02_Test_Cases'!$W$5:$W$357,"Bổ sung QA")</x:f>
        <x:v>1</x:v>
      </x:c>
      <x:c r="N65" s="18" t="str">
        <x:f>IF(L65&gt;=I65,"Đã phủ AC","Thiếu AC")</x:f>
        <x:v>Đã phủ AC</x:v>
      </x:c>
      <x:c r="O65" s="18" t="n">
        <x:f>COUNTIFS('02_Test_Cases'!$D$5:$D$357,A65,'02_Test_Cases'!$P$5:$P$357,"&lt;&gt;Chưa chạy",'02_Test_Cases'!$P$5:$P$357,"&lt;&gt;")</x:f>
        <x:v>0</x:v>
      </x:c>
      <x:c r="P65" s="18" t="str">
        <x:f>IF(O65=0,"Chưa chạy",IF(O65&lt;K65,"Đang chạy","Đã chạy hết"))</x:f>
        <x:v>Chưa chạy</x:v>
      </x:c>
    </x:row>
    <x:row r="66" ht="44" customHeight="1">
      <x:c r="A66" s="18" t="str">
        <x:v>S7-04</x:v>
      </x:c>
      <x:c r="B66" s="18" t="n">
        <x:v>7</x:v>
      </x:c>
      <x:c r="C66" s="18" t="str">
        <x:v>EP-07</x:v>
      </x:c>
      <x:c r="D66" s="18" t="str">
        <x:v>Offer &amp; Onboarding</x:v>
      </x:c>
      <x:c r="E66" s="18" t="str">
        <x:v>Nhân viên tuyển dụng</x:v>
      </x:c>
      <x:c r="F66" s="18" t="str">
        <x:v>Must</x:v>
      </x:c>
      <x:c r="G66" s="18" t="n">
        <x:v>8</x:v>
      </x:c>
      <x:c r="H66" s="18" t="str">
        <x:v>soạn đề xuất offer cho ứng viên</x:v>
      </x:c>
      <x:c r="I66" s="18" t="n">
        <x:v>4</x:v>
      </x:c>
      <x:c r="J66" s="18" t="n">
        <x:v>80</x:v>
      </x:c>
      <x:c r="K66" s="18" t="n">
        <x:f>COUNTIF('02_Test_Cases'!$D$5:$D$357,A66)</x:f>
        <x:v>5</x:v>
      </x:c>
      <x:c r="L66" s="18" t="n">
        <x:f>COUNTIFS('02_Test_Cases'!$D$5:$D$357,A66,'02_Test_Cases'!$W$5:$W$357,"Backlog / AC")</x:f>
        <x:v>4</x:v>
      </x:c>
      <x:c r="M66" s="18" t="n">
        <x:f>COUNTIFS('02_Test_Cases'!$D$5:$D$357,A66,'02_Test_Cases'!$W$5:$W$357,"Bổ sung QA")</x:f>
        <x:v>1</x:v>
      </x:c>
      <x:c r="N66" s="18" t="str">
        <x:f>IF(L66&gt;=I66,"Đã phủ AC","Thiếu AC")</x:f>
        <x:v>Đã phủ AC</x:v>
      </x:c>
      <x:c r="O66" s="18" t="n">
        <x:f>COUNTIFS('02_Test_Cases'!$D$5:$D$357,A66,'02_Test_Cases'!$P$5:$P$357,"&lt;&gt;Chưa chạy",'02_Test_Cases'!$P$5:$P$357,"&lt;&gt;")</x:f>
        <x:v>0</x:v>
      </x:c>
      <x:c r="P66" s="18" t="str">
        <x:f>IF(O66=0,"Chưa chạy",IF(O66&lt;K66,"Đang chạy","Đã chạy hết"))</x:f>
        <x:v>Chưa chạy</x:v>
      </x:c>
    </x:row>
    <x:row r="67" ht="44" customHeight="1">
      <x:c r="A67" s="18" t="str">
        <x:v>S7-05</x:v>
      </x:c>
      <x:c r="B67" s="18" t="n">
        <x:v>7</x:v>
      </x:c>
      <x:c r="C67" s="18" t="str">
        <x:v>EP-07</x:v>
      </x:c>
      <x:c r="D67" s="18" t="str">
        <x:v>Offer &amp; Onboarding</x:v>
      </x:c>
      <x:c r="E67" s="18" t="str">
        <x:v>Người duyệt</x:v>
      </x:c>
      <x:c r="F67" s="18" t="str">
        <x:v>Must</x:v>
      </x:c>
      <x:c r="G67" s="18" t="n">
        <x:v>5</x:v>
      </x:c>
      <x:c r="H67" s="18" t="str">
        <x:v>duyệt offer theo hạn mức lương</x:v>
      </x:c>
      <x:c r="I67" s="18" t="n">
        <x:v>3</x:v>
      </x:c>
      <x:c r="J67" s="18" t="n">
        <x:v>81</x:v>
      </x:c>
      <x:c r="K67" s="18" t="n">
        <x:f>COUNTIF('02_Test_Cases'!$D$5:$D$357,A67)</x:f>
        <x:v>4</x:v>
      </x:c>
      <x:c r="L67" s="18" t="n">
        <x:f>COUNTIFS('02_Test_Cases'!$D$5:$D$357,A67,'02_Test_Cases'!$W$5:$W$357,"Backlog / AC")</x:f>
        <x:v>3</x:v>
      </x:c>
      <x:c r="M67" s="18" t="n">
        <x:f>COUNTIFS('02_Test_Cases'!$D$5:$D$357,A67,'02_Test_Cases'!$W$5:$W$357,"Bổ sung QA")</x:f>
        <x:v>1</x:v>
      </x:c>
      <x:c r="N67" s="18" t="str">
        <x:f>IF(L67&gt;=I67,"Đã phủ AC","Thiếu AC")</x:f>
        <x:v>Đã phủ AC</x:v>
      </x:c>
      <x:c r="O67" s="18" t="n">
        <x:f>COUNTIFS('02_Test_Cases'!$D$5:$D$357,A67,'02_Test_Cases'!$P$5:$P$357,"&lt;&gt;Chưa chạy",'02_Test_Cases'!$P$5:$P$357,"&lt;&gt;")</x:f>
        <x:v>0</x:v>
      </x:c>
      <x:c r="P67" s="18" t="str">
        <x:f>IF(O67=0,"Chưa chạy",IF(O67&lt;K67,"Đang chạy","Đã chạy hết"))</x:f>
        <x:v>Chưa chạy</x:v>
      </x:c>
    </x:row>
    <x:row r="68" ht="44" customHeight="1">
      <x:c r="A68" s="18" t="str">
        <x:v>S7-06</x:v>
      </x:c>
      <x:c r="B68" s="18" t="n">
        <x:v>7</x:v>
      </x:c>
      <x:c r="C68" s="18" t="str">
        <x:v>EP-07</x:v>
      </x:c>
      <x:c r="D68" s="18" t="str">
        <x:v>Offer &amp; Onboarding</x:v>
      </x:c>
      <x:c r="E68" s="18" t="str">
        <x:v>Ứng viên</x:v>
      </x:c>
      <x:c r="F68" s="18" t="str">
        <x:v>Must</x:v>
      </x:c>
      <x:c r="G68" s="18" t="n">
        <x:v>5</x:v>
      </x:c>
      <x:c r="H68" s="18" t="str">
        <x:v>nhận thư mời nhận việc và phản hồi</x:v>
      </x:c>
      <x:c r="I68" s="18" t="n">
        <x:v>4</x:v>
      </x:c>
      <x:c r="J68" s="18" t="n">
        <x:v>82</x:v>
      </x:c>
      <x:c r="K68" s="18" t="n">
        <x:f>COUNTIF('02_Test_Cases'!$D$5:$D$357,A68)</x:f>
        <x:v>5</x:v>
      </x:c>
      <x:c r="L68" s="18" t="n">
        <x:f>COUNTIFS('02_Test_Cases'!$D$5:$D$357,A68,'02_Test_Cases'!$W$5:$W$357,"Backlog / AC")</x:f>
        <x:v>4</x:v>
      </x:c>
      <x:c r="M68" s="18" t="n">
        <x:f>COUNTIFS('02_Test_Cases'!$D$5:$D$357,A68,'02_Test_Cases'!$W$5:$W$357,"Bổ sung QA")</x:f>
        <x:v>1</x:v>
      </x:c>
      <x:c r="N68" s="18" t="str">
        <x:f>IF(L68&gt;=I68,"Đã phủ AC","Thiếu AC")</x:f>
        <x:v>Đã phủ AC</x:v>
      </x:c>
      <x:c r="O68" s="18" t="n">
        <x:f>COUNTIFS('02_Test_Cases'!$D$5:$D$357,A68,'02_Test_Cases'!$P$5:$P$357,"&lt;&gt;Chưa chạy",'02_Test_Cases'!$P$5:$P$357,"&lt;&gt;")</x:f>
        <x:v>0</x:v>
      </x:c>
      <x:c r="P68" s="18" t="str">
        <x:f>IF(O68=0,"Chưa chạy",IF(O68&lt;K68,"Đang chạy","Đã chạy hết"))</x:f>
        <x:v>Chưa chạy</x:v>
      </x:c>
    </x:row>
    <x:row r="69" ht="44" customHeight="1">
      <x:c r="A69" s="18" t="str">
        <x:v>S7-07</x:v>
      </x:c>
      <x:c r="B69" s="18" t="n">
        <x:v>7</x:v>
      </x:c>
      <x:c r="C69" s="18" t="str">
        <x:v>EP-07</x:v>
      </x:c>
      <x:c r="D69" s="18" t="str">
        <x:v>Offer &amp; Onboarding</x:v>
      </x:c>
      <x:c r="E69" s="18" t="str">
        <x:v>Nhân viên tuyển dụng</x:v>
      </x:c>
      <x:c r="F69" s="18" t="str">
        <x:v>Must</x:v>
      </x:c>
      <x:c r="G69" s="18" t="n">
        <x:v>5</x:v>
      </x:c>
      <x:c r="H69" s="18" t="str">
        <x:v>xử lý ứng viên từ chối offer hoặc thương lượng lại</x:v>
      </x:c>
      <x:c r="I69" s="18" t="n">
        <x:v>3</x:v>
      </x:c>
      <x:c r="J69" s="18" t="n">
        <x:v>83</x:v>
      </x:c>
      <x:c r="K69" s="18" t="n">
        <x:f>COUNTIF('02_Test_Cases'!$D$5:$D$357,A69)</x:f>
        <x:v>4</x:v>
      </x:c>
      <x:c r="L69" s="18" t="n">
        <x:f>COUNTIFS('02_Test_Cases'!$D$5:$D$357,A69,'02_Test_Cases'!$W$5:$W$357,"Backlog / AC")</x:f>
        <x:v>3</x:v>
      </x:c>
      <x:c r="M69" s="18" t="n">
        <x:f>COUNTIFS('02_Test_Cases'!$D$5:$D$357,A69,'02_Test_Cases'!$W$5:$W$357,"Bổ sung QA")</x:f>
        <x:v>1</x:v>
      </x:c>
      <x:c r="N69" s="18" t="str">
        <x:f>IF(L69&gt;=I69,"Đã phủ AC","Thiếu AC")</x:f>
        <x:v>Đã phủ AC</x:v>
      </x:c>
      <x:c r="O69" s="18" t="n">
        <x:f>COUNTIFS('02_Test_Cases'!$D$5:$D$357,A69,'02_Test_Cases'!$P$5:$P$357,"&lt;&gt;Chưa chạy",'02_Test_Cases'!$P$5:$P$357,"&lt;&gt;")</x:f>
        <x:v>0</x:v>
      </x:c>
      <x:c r="P69" s="18" t="str">
        <x:f>IF(O69=0,"Chưa chạy",IF(O69&lt;K69,"Đang chạy","Đã chạy hết"))</x:f>
        <x:v>Chưa chạy</x:v>
      </x:c>
    </x:row>
    <x:row r="70" ht="44" customHeight="1">
      <x:c r="A70" s="18" t="str">
        <x:v>S7-08</x:v>
      </x:c>
      <x:c r="B70" s="18" t="n">
        <x:v>7</x:v>
      </x:c>
      <x:c r="C70" s="18" t="str">
        <x:v>EP-07</x:v>
      </x:c>
      <x:c r="D70" s="18" t="str">
        <x:v>Offer &amp; Onboarding</x:v>
      </x:c>
      <x:c r="E70" s="18" t="str">
        <x:v>Trưởng phòng Nhân sự</x:v>
      </x:c>
      <x:c r="F70" s="18" t="str">
        <x:v>Must</x:v>
      </x:c>
      <x:c r="G70" s="18" t="n">
        <x:v>5</x:v>
      </x:c>
      <x:c r="H70" s="18" t="str">
        <x:v>khởi tạo checklist onboarding cho người đã nhận việc</x:v>
      </x:c>
      <x:c r="I70" s="18" t="n">
        <x:v>4</x:v>
      </x:c>
      <x:c r="J70" s="18" t="n">
        <x:v>84</x:v>
      </x:c>
      <x:c r="K70" s="18" t="n">
        <x:f>COUNTIF('02_Test_Cases'!$D$5:$D$357,A70)</x:f>
        <x:v>5</x:v>
      </x:c>
      <x:c r="L70" s="18" t="n">
        <x:f>COUNTIFS('02_Test_Cases'!$D$5:$D$357,A70,'02_Test_Cases'!$W$5:$W$357,"Backlog / AC")</x:f>
        <x:v>4</x:v>
      </x:c>
      <x:c r="M70" s="18" t="n">
        <x:f>COUNTIFS('02_Test_Cases'!$D$5:$D$357,A70,'02_Test_Cases'!$W$5:$W$357,"Bổ sung QA")</x:f>
        <x:v>1</x:v>
      </x:c>
      <x:c r="N70" s="18" t="str">
        <x:f>IF(L70&gt;=I70,"Đã phủ AC","Thiếu AC")</x:f>
        <x:v>Đã phủ AC</x:v>
      </x:c>
      <x:c r="O70" s="18" t="n">
        <x:f>COUNTIFS('02_Test_Cases'!$D$5:$D$357,A70,'02_Test_Cases'!$P$5:$P$357,"&lt;&gt;Chưa chạy",'02_Test_Cases'!$P$5:$P$357,"&lt;&gt;")</x:f>
        <x:v>0</x:v>
      </x:c>
      <x:c r="P70" s="18" t="str">
        <x:f>IF(O70=0,"Chưa chạy",IF(O70&lt;K70,"Đang chạy","Đã chạy hết"))</x:f>
        <x:v>Chưa chạy</x:v>
      </x:c>
    </x:row>
    <x:row r="71" ht="44" customHeight="1">
      <x:c r="A71" s="18" t="str">
        <x:v>S7-09</x:v>
      </x:c>
      <x:c r="B71" s="18" t="n">
        <x:v>7</x:v>
      </x:c>
      <x:c r="C71" s="18" t="str">
        <x:v>EP-08</x:v>
      </x:c>
      <x:c r="D71" s="18" t="str">
        <x:v>Thông báo &amp; Email</x:v>
      </x:c>
      <x:c r="E71" s="18" t="str">
        <x:v>Nhân viên tuyển dụng</x:v>
      </x:c>
      <x:c r="F71" s="18" t="str">
        <x:v>Should</x:v>
      </x:c>
      <x:c r="G71" s="18" t="n">
        <x:v>3</x:v>
      </x:c>
      <x:c r="H71" s="18" t="str">
        <x:v>gửi thư cảm ơn và thư từ chối hàng loạt</x:v>
      </x:c>
      <x:c r="I71" s="18" t="n">
        <x:v>3</x:v>
      </x:c>
      <x:c r="J71" s="18" t="n">
        <x:v>85</x:v>
      </x:c>
      <x:c r="K71" s="18" t="n">
        <x:f>COUNTIF('02_Test_Cases'!$D$5:$D$357,A71)</x:f>
        <x:v>4</x:v>
      </x:c>
      <x:c r="L71" s="18" t="n">
        <x:f>COUNTIFS('02_Test_Cases'!$D$5:$D$357,A71,'02_Test_Cases'!$W$5:$W$357,"Backlog / AC")</x:f>
        <x:v>3</x:v>
      </x:c>
      <x:c r="M71" s="18" t="n">
        <x:f>COUNTIFS('02_Test_Cases'!$D$5:$D$357,A71,'02_Test_Cases'!$W$5:$W$357,"Bổ sung QA")</x:f>
        <x:v>1</x:v>
      </x:c>
      <x:c r="N71" s="18" t="str">
        <x:f>IF(L71&gt;=I71,"Đã phủ AC","Thiếu AC")</x:f>
        <x:v>Đã phủ AC</x:v>
      </x:c>
      <x:c r="O71" s="18" t="n">
        <x:f>COUNTIFS('02_Test_Cases'!$D$5:$D$357,A71,'02_Test_Cases'!$P$5:$P$357,"&lt;&gt;Chưa chạy",'02_Test_Cases'!$P$5:$P$357,"&lt;&gt;")</x:f>
        <x:v>0</x:v>
      </x:c>
      <x:c r="P71" s="18" t="str">
        <x:f>IF(O71=0,"Chưa chạy",IF(O71&lt;K71,"Đang chạy","Đã chạy hết"))</x:f>
        <x:v>Chưa chạy</x:v>
      </x:c>
    </x:row>
    <x:row r="72" ht="44" customHeight="1">
      <x:c r="A72" s="18" t="str">
        <x:v>S8-01</x:v>
      </x:c>
      <x:c r="B72" s="18" t="n">
        <x:v>8</x:v>
      </x:c>
      <x:c r="C72" s="18" t="str">
        <x:v>EP-08</x:v>
      </x:c>
      <x:c r="D72" s="18" t="str">
        <x:v>Thông báo &amp; Email</x:v>
      </x:c>
      <x:c r="E72" s="18" t="str">
        <x:v>Trưởng phòng Nhân sự</x:v>
      </x:c>
      <x:c r="F72" s="18" t="str">
        <x:v>Must</x:v>
      </x:c>
      <x:c r="G72" s="18" t="n">
        <x:v>5</x:v>
      </x:c>
      <x:c r="H72" s="18" t="str">
        <x:v>cấu hình mẫu email tự động theo giai đoạn</x:v>
      </x:c>
      <x:c r="I72" s="18" t="n">
        <x:v>4</x:v>
      </x:c>
      <x:c r="J72" s="18" t="n">
        <x:v>88</x:v>
      </x:c>
      <x:c r="K72" s="18" t="n">
        <x:f>COUNTIF('02_Test_Cases'!$D$5:$D$357,A72)</x:f>
        <x:v>5</x:v>
      </x:c>
      <x:c r="L72" s="18" t="n">
        <x:f>COUNTIFS('02_Test_Cases'!$D$5:$D$357,A72,'02_Test_Cases'!$W$5:$W$357,"Backlog / AC")</x:f>
        <x:v>4</x:v>
      </x:c>
      <x:c r="M72" s="18" t="n">
        <x:f>COUNTIFS('02_Test_Cases'!$D$5:$D$357,A72,'02_Test_Cases'!$W$5:$W$357,"Bổ sung QA")</x:f>
        <x:v>1</x:v>
      </x:c>
      <x:c r="N72" s="18" t="str">
        <x:f>IF(L72&gt;=I72,"Đã phủ AC","Thiếu AC")</x:f>
        <x:v>Đã phủ AC</x:v>
      </x:c>
      <x:c r="O72" s="18" t="n">
        <x:f>COUNTIFS('02_Test_Cases'!$D$5:$D$357,A72,'02_Test_Cases'!$P$5:$P$357,"&lt;&gt;Chưa chạy",'02_Test_Cases'!$P$5:$P$357,"&lt;&gt;")</x:f>
        <x:v>0</x:v>
      </x:c>
      <x:c r="P72" s="18" t="str">
        <x:f>IF(O72=0,"Chưa chạy",IF(O72&lt;K72,"Đang chạy","Đã chạy hết"))</x:f>
        <x:v>Chưa chạy</x:v>
      </x:c>
    </x:row>
    <x:row r="73" ht="44" customHeight="1">
      <x:c r="A73" s="18" t="str">
        <x:v>S8-02</x:v>
      </x:c>
      <x:c r="B73" s="18" t="n">
        <x:v>8</x:v>
      </x:c>
      <x:c r="C73" s="18" t="str">
        <x:v>EP-08</x:v>
      </x:c>
      <x:c r="D73" s="18" t="str">
        <x:v>Thông báo &amp; Email</x:v>
      </x:c>
      <x:c r="E73" s="18" t="str">
        <x:v>Nhân viên tuyển dụng</x:v>
      </x:c>
      <x:c r="F73" s="18" t="str">
        <x:v>Must</x:v>
      </x:c>
      <x:c r="G73" s="18" t="n">
        <x:v>3</x:v>
      </x:c>
      <x:c r="H73" s="18" t="str">
        <x:v>xem nhật ký email đã gửi cho ứng viên</x:v>
      </x:c>
      <x:c r="I73" s="18" t="n">
        <x:v>3</x:v>
      </x:c>
      <x:c r="J73" s="18" t="n">
        <x:v>89</x:v>
      </x:c>
      <x:c r="K73" s="18" t="n">
        <x:f>COUNTIF('02_Test_Cases'!$D$5:$D$357,A73)</x:f>
        <x:v>4</x:v>
      </x:c>
      <x:c r="L73" s="18" t="n">
        <x:f>COUNTIFS('02_Test_Cases'!$D$5:$D$357,A73,'02_Test_Cases'!$W$5:$W$357,"Backlog / AC")</x:f>
        <x:v>3</x:v>
      </x:c>
      <x:c r="M73" s="18" t="n">
        <x:f>COUNTIFS('02_Test_Cases'!$D$5:$D$357,A73,'02_Test_Cases'!$W$5:$W$357,"Bổ sung QA")</x:f>
        <x:v>1</x:v>
      </x:c>
      <x:c r="N73" s="18" t="str">
        <x:f>IF(L73&gt;=I73,"Đã phủ AC","Thiếu AC")</x:f>
        <x:v>Đã phủ AC</x:v>
      </x:c>
      <x:c r="O73" s="18" t="n">
        <x:f>COUNTIFS('02_Test_Cases'!$D$5:$D$357,A73,'02_Test_Cases'!$P$5:$P$357,"&lt;&gt;Chưa chạy",'02_Test_Cases'!$P$5:$P$357,"&lt;&gt;")</x:f>
        <x:v>0</x:v>
      </x:c>
      <x:c r="P73" s="18" t="str">
        <x:f>IF(O73=0,"Chưa chạy",IF(O73&lt;K73,"Đang chạy","Đã chạy hết"))</x:f>
        <x:v>Chưa chạy</x:v>
      </x:c>
    </x:row>
    <x:row r="74" ht="44" customHeight="1">
      <x:c r="A74" s="18" t="str">
        <x:v>S8-03</x:v>
      </x:c>
      <x:c r="B74" s="18" t="n">
        <x:v>8</x:v>
      </x:c>
      <x:c r="C74" s="18" t="str">
        <x:v>EP-08</x:v>
      </x:c>
      <x:c r="D74" s="18" t="str">
        <x:v>Thông báo &amp; Email</x:v>
      </x:c>
      <x:c r="E74" s="18" t="str">
        <x:v>nhân sự nội bộ</x:v>
      </x:c>
      <x:c r="F74" s="18" t="str">
        <x:v>Must</x:v>
      </x:c>
      <x:c r="G74" s="18" t="n">
        <x:v>5</x:v>
      </x:c>
      <x:c r="H74" s="18" t="str">
        <x:v>nhận thông báo trong ứng dụng cho các sự kiện quan trọng</x:v>
      </x:c>
      <x:c r="I74" s="18" t="n">
        <x:v>4</x:v>
      </x:c>
      <x:c r="J74" s="18" t="n">
        <x:v>90</x:v>
      </x:c>
      <x:c r="K74" s="18" t="n">
        <x:f>COUNTIF('02_Test_Cases'!$D$5:$D$357,A74)</x:f>
        <x:v>5</x:v>
      </x:c>
      <x:c r="L74" s="18" t="n">
        <x:f>COUNTIFS('02_Test_Cases'!$D$5:$D$357,A74,'02_Test_Cases'!$W$5:$W$357,"Backlog / AC")</x:f>
        <x:v>4</x:v>
      </x:c>
      <x:c r="M74" s="18" t="n">
        <x:f>COUNTIFS('02_Test_Cases'!$D$5:$D$357,A74,'02_Test_Cases'!$W$5:$W$357,"Bổ sung QA")</x:f>
        <x:v>1</x:v>
      </x:c>
      <x:c r="N74" s="18" t="str">
        <x:f>IF(L74&gt;=I74,"Đã phủ AC","Thiếu AC")</x:f>
        <x:v>Đã phủ AC</x:v>
      </x:c>
      <x:c r="O74" s="18" t="n">
        <x:f>COUNTIFS('02_Test_Cases'!$D$5:$D$357,A74,'02_Test_Cases'!$P$5:$P$357,"&lt;&gt;Chưa chạy",'02_Test_Cases'!$P$5:$P$357,"&lt;&gt;")</x:f>
        <x:v>0</x:v>
      </x:c>
      <x:c r="P74" s="18" t="str">
        <x:f>IF(O74=0,"Chưa chạy",IF(O74&lt;K74,"Đang chạy","Đã chạy hết"))</x:f>
        <x:v>Chưa chạy</x:v>
      </x:c>
    </x:row>
    <x:row r="75" ht="44" customHeight="1">
      <x:c r="A75" s="18" t="str">
        <x:v>S8-04</x:v>
      </x:c>
      <x:c r="B75" s="18" t="n">
        <x:v>8</x:v>
      </x:c>
      <x:c r="C75" s="18" t="str">
        <x:v>EP-08</x:v>
      </x:c>
      <x:c r="D75" s="18" t="str">
        <x:v>Thông báo &amp; Email</x:v>
      </x:c>
      <x:c r="E75" s="18" t="str">
        <x:v>nhân sự nội bộ</x:v>
      </x:c>
      <x:c r="F75" s="18" t="str">
        <x:v>Could</x:v>
      </x:c>
      <x:c r="G75" s="18" t="n">
        <x:v>3</x:v>
      </x:c>
      <x:c r="H75" s="18" t="str">
        <x:v>bật hoặc tắt từng loại thông báo cho riêng mình</x:v>
      </x:c>
      <x:c r="I75" s="18" t="n">
        <x:v>2</x:v>
      </x:c>
      <x:c r="J75" s="18" t="n">
        <x:v>91</x:v>
      </x:c>
      <x:c r="K75" s="18" t="n">
        <x:f>COUNTIF('02_Test_Cases'!$D$5:$D$357,A75)</x:f>
        <x:v>3</x:v>
      </x:c>
      <x:c r="L75" s="18" t="n">
        <x:f>COUNTIFS('02_Test_Cases'!$D$5:$D$357,A75,'02_Test_Cases'!$W$5:$W$357,"Backlog / AC")</x:f>
        <x:v>2</x:v>
      </x:c>
      <x:c r="M75" s="18" t="n">
        <x:f>COUNTIFS('02_Test_Cases'!$D$5:$D$357,A75,'02_Test_Cases'!$W$5:$W$357,"Bổ sung QA")</x:f>
        <x:v>1</x:v>
      </x:c>
      <x:c r="N75" s="18" t="str">
        <x:f>IF(L75&gt;=I75,"Đã phủ AC","Thiếu AC")</x:f>
        <x:v>Đã phủ AC</x:v>
      </x:c>
      <x:c r="O75" s="18" t="n">
        <x:f>COUNTIFS('02_Test_Cases'!$D$5:$D$357,A75,'02_Test_Cases'!$P$5:$P$357,"&lt;&gt;Chưa chạy",'02_Test_Cases'!$P$5:$P$357,"&lt;&gt;")</x:f>
        <x:v>0</x:v>
      </x:c>
      <x:c r="P75" s="18" t="str">
        <x:f>IF(O75=0,"Chưa chạy",IF(O75&lt;K75,"Đang chạy","Đã chạy hết"))</x:f>
        <x:v>Chưa chạy</x:v>
      </x:c>
    </x:row>
    <x:row r="76" ht="44" customHeight="1">
      <x:c r="A76" s="18" t="str">
        <x:v>S8-05</x:v>
      </x:c>
      <x:c r="B76" s="18" t="n">
        <x:v>8</x:v>
      </x:c>
      <x:c r="C76" s="18" t="str">
        <x:v>EP-09</x:v>
      </x:c>
      <x:c r="D76" s="18" t="str">
        <x:v>Báo cáo &amp; Dashboard</x:v>
      </x:c>
      <x:c r="E76" s="18" t="str">
        <x:v>Trưởng phòng Nhân sự</x:v>
      </x:c>
      <x:c r="F76" s="18" t="str">
        <x:v>Must</x:v>
      </x:c>
      <x:c r="G76" s="18" t="n">
        <x:v>8</x:v>
      </x:c>
      <x:c r="H76" s="18" t="str">
        <x:v>xem dashboard tổng quan hoạt động tuyển dụng</x:v>
      </x:c>
      <x:c r="I76" s="18" t="n">
        <x:v>4</x:v>
      </x:c>
      <x:c r="J76" s="18" t="n">
        <x:v>92</x:v>
      </x:c>
      <x:c r="K76" s="18" t="n">
        <x:f>COUNTIF('02_Test_Cases'!$D$5:$D$357,A76)</x:f>
        <x:v>5</x:v>
      </x:c>
      <x:c r="L76" s="18" t="n">
        <x:f>COUNTIFS('02_Test_Cases'!$D$5:$D$357,A76,'02_Test_Cases'!$W$5:$W$357,"Backlog / AC")</x:f>
        <x:v>4</x:v>
      </x:c>
      <x:c r="M76" s="18" t="n">
        <x:f>COUNTIFS('02_Test_Cases'!$D$5:$D$357,A76,'02_Test_Cases'!$W$5:$W$357,"Bổ sung QA")</x:f>
        <x:v>1</x:v>
      </x:c>
      <x:c r="N76" s="18" t="str">
        <x:f>IF(L76&gt;=I76,"Đã phủ AC","Thiếu AC")</x:f>
        <x:v>Đã phủ AC</x:v>
      </x:c>
      <x:c r="O76" s="18" t="n">
        <x:f>COUNTIFS('02_Test_Cases'!$D$5:$D$357,A76,'02_Test_Cases'!$P$5:$P$357,"&lt;&gt;Chưa chạy",'02_Test_Cases'!$P$5:$P$357,"&lt;&gt;")</x:f>
        <x:v>0</x:v>
      </x:c>
      <x:c r="P76" s="18" t="str">
        <x:f>IF(O76=0,"Chưa chạy",IF(O76&lt;K76,"Đang chạy","Đã chạy hết"))</x:f>
        <x:v>Chưa chạy</x:v>
      </x:c>
    </x:row>
    <x:row r="77" ht="44" customHeight="1">
      <x:c r="A77" s="18" t="str">
        <x:v>S8-06</x:v>
      </x:c>
      <x:c r="B77" s="18" t="n">
        <x:v>8</x:v>
      </x:c>
      <x:c r="C77" s="18" t="str">
        <x:v>EP-09</x:v>
      </x:c>
      <x:c r="D77" s="18" t="str">
        <x:v>Báo cáo &amp; Dashboard</x:v>
      </x:c>
      <x:c r="E77" s="18" t="str">
        <x:v>Trưởng bộ phận</x:v>
      </x:c>
      <x:c r="F77" s="18" t="str">
        <x:v>Should</x:v>
      </x:c>
      <x:c r="G77" s="18" t="n">
        <x:v>5</x:v>
      </x:c>
      <x:c r="H77" s="18" t="str">
        <x:v>xem tiến độ tuyển dụng của vị trí mình sở hữu</x:v>
      </x:c>
      <x:c r="I77" s="18" t="n">
        <x:v>3</x:v>
      </x:c>
      <x:c r="J77" s="18" t="n">
        <x:v>93</x:v>
      </x:c>
      <x:c r="K77" s="18" t="n">
        <x:f>COUNTIF('02_Test_Cases'!$D$5:$D$357,A77)</x:f>
        <x:v>4</x:v>
      </x:c>
      <x:c r="L77" s="18" t="n">
        <x:f>COUNTIFS('02_Test_Cases'!$D$5:$D$357,A77,'02_Test_Cases'!$W$5:$W$357,"Backlog / AC")</x:f>
        <x:v>3</x:v>
      </x:c>
      <x:c r="M77" s="18" t="n">
        <x:f>COUNTIFS('02_Test_Cases'!$D$5:$D$357,A77,'02_Test_Cases'!$W$5:$W$357,"Bổ sung QA")</x:f>
        <x:v>1</x:v>
      </x:c>
      <x:c r="N77" s="18" t="str">
        <x:f>IF(L77&gt;=I77,"Đã phủ AC","Thiếu AC")</x:f>
        <x:v>Đã phủ AC</x:v>
      </x:c>
      <x:c r="O77" s="18" t="n">
        <x:f>COUNTIFS('02_Test_Cases'!$D$5:$D$357,A77,'02_Test_Cases'!$P$5:$P$357,"&lt;&gt;Chưa chạy",'02_Test_Cases'!$P$5:$P$357,"&lt;&gt;")</x:f>
        <x:v>0</x:v>
      </x:c>
      <x:c r="P77" s="18" t="str">
        <x:f>IF(O77=0,"Chưa chạy",IF(O77&lt;K77,"Đang chạy","Đã chạy hết"))</x:f>
        <x:v>Chưa chạy</x:v>
      </x:c>
    </x:row>
    <x:row r="78" ht="44" customHeight="1">
      <x:c r="A78" s="18" t="str">
        <x:v>S8-07</x:v>
      </x:c>
      <x:c r="B78" s="18" t="n">
        <x:v>8</x:v>
      </x:c>
      <x:c r="C78" s="18" t="str">
        <x:v>EP-09</x:v>
      </x:c>
      <x:c r="D78" s="18" t="str">
        <x:v>Báo cáo &amp; Dashboard</x:v>
      </x:c>
      <x:c r="E78" s="18" t="str">
        <x:v>Trưởng phòng Nhân sự</x:v>
      </x:c>
      <x:c r="F78" s="18" t="str">
        <x:v>Must</x:v>
      </x:c>
      <x:c r="G78" s="18" t="n">
        <x:v>5</x:v>
      </x:c>
      <x:c r="H78" s="18" t="str">
        <x:v>xem báo cáo phễu tuyển dụng và tỷ lệ chuyển đổi</x:v>
      </x:c>
      <x:c r="I78" s="18" t="n">
        <x:v>3</x:v>
      </x:c>
      <x:c r="J78" s="18" t="n">
        <x:v>94</x:v>
      </x:c>
      <x:c r="K78" s="18" t="n">
        <x:f>COUNTIF('02_Test_Cases'!$D$5:$D$357,A78)</x:f>
        <x:v>4</x:v>
      </x:c>
      <x:c r="L78" s="18" t="n">
        <x:f>COUNTIFS('02_Test_Cases'!$D$5:$D$357,A78,'02_Test_Cases'!$W$5:$W$357,"Backlog / AC")</x:f>
        <x:v>3</x:v>
      </x:c>
      <x:c r="M78" s="18" t="n">
        <x:f>COUNTIFS('02_Test_Cases'!$D$5:$D$357,A78,'02_Test_Cases'!$W$5:$W$357,"Bổ sung QA")</x:f>
        <x:v>1</x:v>
      </x:c>
      <x:c r="N78" s="18" t="str">
        <x:f>IF(L78&gt;=I78,"Đã phủ AC","Thiếu AC")</x:f>
        <x:v>Đã phủ AC</x:v>
      </x:c>
      <x:c r="O78" s="18" t="n">
        <x:f>COUNTIFS('02_Test_Cases'!$D$5:$D$357,A78,'02_Test_Cases'!$P$5:$P$357,"&lt;&gt;Chưa chạy",'02_Test_Cases'!$P$5:$P$357,"&lt;&gt;")</x:f>
        <x:v>0</x:v>
      </x:c>
      <x:c r="P78" s="18" t="str">
        <x:f>IF(O78=0,"Chưa chạy",IF(O78&lt;K78,"Đang chạy","Đã chạy hết"))</x:f>
        <x:v>Chưa chạy</x:v>
      </x:c>
    </x:row>
    <x:row r="79" ht="44" customHeight="1">
      <x:c r="A79" s="18" t="str">
        <x:v>S8-08</x:v>
      </x:c>
      <x:c r="B79" s="18" t="n">
        <x:v>8</x:v>
      </x:c>
      <x:c r="C79" s="18" t="str">
        <x:v>EP-09</x:v>
      </x:c>
      <x:c r="D79" s="18" t="str">
        <x:v>Báo cáo &amp; Dashboard</x:v>
      </x:c>
      <x:c r="E79" s="18" t="str">
        <x:v>Trưởng phòng Nhân sự</x:v>
      </x:c>
      <x:c r="F79" s="18" t="str">
        <x:v>Should</x:v>
      </x:c>
      <x:c r="G79" s="18" t="n">
        <x:v>5</x:v>
      </x:c>
      <x:c r="H79" s="18" t="str">
        <x:v>xem báo cáo thời gian và chi phí tuyển dụng</x:v>
      </x:c>
      <x:c r="I79" s="18" t="n">
        <x:v>4</x:v>
      </x:c>
      <x:c r="J79" s="18" t="n">
        <x:v>95</x:v>
      </x:c>
      <x:c r="K79" s="18" t="n">
        <x:f>COUNTIF('02_Test_Cases'!$D$5:$D$357,A79)</x:f>
        <x:v>5</x:v>
      </x:c>
      <x:c r="L79" s="18" t="n">
        <x:f>COUNTIFS('02_Test_Cases'!$D$5:$D$357,A79,'02_Test_Cases'!$W$5:$W$357,"Backlog / AC")</x:f>
        <x:v>4</x:v>
      </x:c>
      <x:c r="M79" s="18" t="n">
        <x:f>COUNTIFS('02_Test_Cases'!$D$5:$D$357,A79,'02_Test_Cases'!$W$5:$W$357,"Bổ sung QA")</x:f>
        <x:v>1</x:v>
      </x:c>
      <x:c r="N79" s="18" t="str">
        <x:f>IF(L79&gt;=I79,"Đã phủ AC","Thiếu AC")</x:f>
        <x:v>Đã phủ AC</x:v>
      </x:c>
      <x:c r="O79" s="18" t="n">
        <x:f>COUNTIFS('02_Test_Cases'!$D$5:$D$357,A79,'02_Test_Cases'!$P$5:$P$357,"&lt;&gt;Chưa chạy",'02_Test_Cases'!$P$5:$P$357,"&lt;&gt;")</x:f>
        <x:v>0</x:v>
      </x:c>
      <x:c r="P79" s="18" t="str">
        <x:f>IF(O79=0,"Chưa chạy",IF(O79&lt;K79,"Đang chạy","Đã chạy hết"))</x:f>
        <x:v>Chưa chạy</x:v>
      </x:c>
    </x:row>
    <x:row r="80" ht="44" customHeight="1">
      <x:c r="A80" s="18" t="str">
        <x:v>S8-09</x:v>
      </x:c>
      <x:c r="B80" s="18" t="n">
        <x:v>8</x:v>
      </x:c>
      <x:c r="C80" s="18" t="str">
        <x:v>EP-09</x:v>
      </x:c>
      <x:c r="D80" s="18" t="str">
        <x:v>Báo cáo &amp; Dashboard</x:v>
      </x:c>
      <x:c r="E80" s="18" t="str">
        <x:v>Trưởng phòng Nhân sự</x:v>
      </x:c>
      <x:c r="F80" s="18" t="str">
        <x:v>Should</x:v>
      </x:c>
      <x:c r="G80" s="18" t="n">
        <x:v>5</x:v>
      </x:c>
      <x:c r="H80" s="18" t="str">
        <x:v>xem báo cáo hiệu quả từng nguồn ứng viên</x:v>
      </x:c>
      <x:c r="I80" s="18" t="n">
        <x:v>3</x:v>
      </x:c>
      <x:c r="J80" s="18" t="n">
        <x:v>96</x:v>
      </x:c>
      <x:c r="K80" s="18" t="n">
        <x:f>COUNTIF('02_Test_Cases'!$D$5:$D$357,A80)</x:f>
        <x:v>4</x:v>
      </x:c>
      <x:c r="L80" s="18" t="n">
        <x:f>COUNTIFS('02_Test_Cases'!$D$5:$D$357,A80,'02_Test_Cases'!$W$5:$W$357,"Backlog / AC")</x:f>
        <x:v>3</x:v>
      </x:c>
      <x:c r="M80" s="18" t="n">
        <x:f>COUNTIFS('02_Test_Cases'!$D$5:$D$357,A80,'02_Test_Cases'!$W$5:$W$357,"Bổ sung QA")</x:f>
        <x:v>1</x:v>
      </x:c>
      <x:c r="N80" s="18" t="str">
        <x:f>IF(L80&gt;=I80,"Đã phủ AC","Thiếu AC")</x:f>
        <x:v>Đã phủ AC</x:v>
      </x:c>
      <x:c r="O80" s="18" t="n">
        <x:f>COUNTIFS('02_Test_Cases'!$D$5:$D$357,A80,'02_Test_Cases'!$P$5:$P$357,"&lt;&gt;Chưa chạy",'02_Test_Cases'!$P$5:$P$357,"&lt;&gt;")</x:f>
        <x:v>0</x:v>
      </x:c>
      <x:c r="P80" s="18" t="str">
        <x:f>IF(O80=0,"Chưa chạy",IF(O80&lt;K80,"Đang chạy","Đã chạy hết"))</x:f>
        <x:v>Chưa chạy</x:v>
      </x:c>
    </x:row>
  </x:sheetData>
  <x:mergeCells>
    <x:mergeCell ref="A1:P1"/>
  </x:mergeCells>
  <x:conditionalFormatting sqref="N5:N80">
    <x:cfRule type="expression" dxfId="4" priority="1">
      <x:formula>N5="Thiếu AC"</x:formula>
    </x:cfRule>
  </x:conditionalFormatting>
  <x:pageMargins left="0.7" right="0.7" top="0.75" bottom="0.75" header="0.3" footer="0.3"/>
  <x:tableParts count="1">
    <x:tablePart xmlns:r="http://schemas.openxmlformats.org/officeDocument/2006/relationships" r:id="Ref991b1149644280"/>
  </x:tableParts>
</x:worksheet>
</file>

<file path=xl/worksheets/sheet5.xml><?xml version="1.0" encoding="utf-8"?>
<x:worksheet xmlns:x="http://schemas.openxmlformats.org/spreadsheetml/2006/main">
  <x:sheetFormatPr defaultRowHeight="15"/>
  <x:cols>
    <x:col min="1" max="1" width="16" hidden="0" customWidth="1"/>
    <x:col min="2" max="2" width="10" hidden="0" customWidth="1"/>
    <x:col min="3" max="3" width="51" hidden="0" customWidth="1"/>
    <x:col min="4" max="4" width="74" hidden="0" customWidth="1"/>
    <x:col min="5" max="5" width="100" hidden="0" customWidth="1"/>
    <x:col min="6" max="6" width="85" hidden="0" customWidth="1"/>
    <x:col min="7" max="7" width="18" hidden="0" customWidth="1"/>
    <x:col min="8" max="8" width="29" hidden="0" customWidth="1"/>
  </x:cols>
  <x:sheetData>
    <x:row r="1" ht="36" customHeight="1">
      <x:c r="A1" s="6" t="str">
        <x:v>8 LUỒNG END-TO-END / UAT THEO SPRINT</x:v>
      </x:c>
      <x:c r="B1" s="6"/>
      <x:c r="C1" s="6"/>
      <x:c r="D1" s="6"/>
      <x:c r="E1" s="6"/>
      <x:c r="F1" s="6"/>
      <x:c r="G1" s="6"/>
      <x:c r="H1" s="6"/>
    </x:row>
    <x:row r="3" ht="34" customHeight="1">
      <x:c r="A3" s="13" t="str">
        <x:v>TC ID</x:v>
      </x:c>
      <x:c r="B3" s="13" t="str">
        <x:v>Sprint</x:v>
      </x:c>
      <x:c r="C3" s="13" t="str">
        <x:v>Kịch bản</x:v>
      </x:c>
      <x:c r="D3" s="13" t="str">
        <x:v>Story liên quan</x:v>
      </x:c>
      <x:c r="E3" s="13" t="str">
        <x:v>Các bước nghiệp vụ</x:v>
      </x:c>
      <x:c r="F3" s="13" t="str">
        <x:v>Kết quả mong đợi</x:v>
      </x:c>
      <x:c r="G3" s="13" t="str">
        <x:v>Trạng thái</x:v>
      </x:c>
      <x:c r="H3" s="13" t="str">
        <x:v>PO nghiệm thu</x:v>
      </x:c>
    </x:row>
    <x:row r="4" ht="104" customHeight="1">
      <x:c r="A4" s="18" t="str">
        <x:v>E2E-01</x:v>
      </x:c>
      <x:c r="B4" s="18" t="n">
        <x:v>1</x:v>
      </x:c>
      <x:c r="C4" s="18" t="str">
        <x:v>Onboard tài khoản nội bộ, đăng nhập và kiểm quyền</x:v>
      </x:c>
      <x:c r="D4" s="18" t="str">
        <x:v>S1-08,S1-01,S1-02,S1-05,S1-06,S1-09,S1-10</x:v>
      </x:c>
      <x:c r="E4" s="18" t="str">
        <x:v>Admin tạo Recruiter + Interviewer, kích hoạt qua email
user đăng nhập
kiểm tra menu/API
Admin thu hồi Recruiter khi phiên đang mở</x:v>
      </x:c>
      <x:c r="F4" s="18" t="str">
        <x:v>Tài khoản kích hoạt được, thấy đúng menu và quyền; thu hồi role cắt API ngay</x:v>
      </x:c>
      <x:c r="G4" s="18" t="str">
        <x:v>Chưa chạy</x:v>
      </x:c>
      <x:c r="H4" s="18" t="str"/>
    </x:row>
    <x:row r="5" ht="104" customHeight="1">
      <x:c r="A5" s="18" t="str">
        <x:v>E2E-02</x:v>
      </x:c>
      <x:c r="B5" s="18" t="n">
        <x:v>2</x:v>
      </x:c>
      <x:c r="C5" s="18" t="str">
        <x:v>Danh mục tổ chức tới yêu cầu tuyển dụng nháp</x:v>
      </x:c>
      <x:c r="D5" s="18" t="str">
        <x:v>S2-04,S2-05,S2-06,S2-08,S2-10</x:v>
      </x:c>
      <x:c r="E5" s="18" t="str">
        <x:v>HR tạo phòng ban/chức danh/dải lương/khung năng lực
HM tạo requisition xin headcount
thử lưu nháp và gửi với lương ngoài dải</x:v>
      </x:c>
      <x:c r="F5" s="18" t="str">
        <x:v>Các liên kết danh mục đúng; REQ lưu nháp, kiểm tra giải trình và ngày cần người</x:v>
      </x:c>
      <x:c r="G5" s="18" t="str">
        <x:v>Chưa chạy</x:v>
      </x:c>
      <x:c r="H5" s="18" t="str"/>
    </x:row>
    <x:row r="6" ht="104" customHeight="1">
      <x:c r="A6" s="18" t="str">
        <x:v>E2E-03</x:v>
      </x:c>
      <x:c r="B6" s="18" t="n">
        <x:v>3</x:v>
      </x:c>
      <x:c r="C6" s="18" t="str">
        <x:v>Phê duyệt headcount rồi xuất bản tin công khai</x:v>
      </x:c>
      <x:c r="D6" s="18" t="str">
        <x:v>S3-01,S3-02,S3-03,S3-04,S3-06,S3-09,S3-10,S4-01</x:v>
      </x:c>
      <x:c r="E6" s="18" t="str">
        <x:v>Cấu hình luồng hai cấp
tạo REQ
Approver duyệt từng cấp
HR phân recruiter
tạo và duyệt tin
ứng viên mở cổng</x:v>
      </x:c>
      <x:c r="F6" s="18" t="str">
        <x:v>Lịch sử duyệt bất biến; tin chỉ công khai sau khi đủ duyệt, recruiter chỉ thấy vị trí được giao</x:v>
      </x:c>
      <x:c r="G6" s="18" t="str">
        <x:v>Chưa chạy</x:v>
      </x:c>
      <x:c r="H6" s="18" t="str"/>
    </x:row>
    <x:row r="7" ht="104" customHeight="1">
      <x:c r="A7" s="18" t="str">
        <x:v>E2E-04</x:v>
      </x:c>
      <x:c r="B7" s="18" t="n">
        <x:v>4</x:v>
      </x:c>
      <x:c r="C7" s="18" t="str">
        <x:v>Ứng viên nộp CV trên mobile, tra cứu và rút hồ sơ</x:v>
      </x:c>
      <x:c r="D7" s="18" t="str">
        <x:v>S4-01,S4-02,S4-03,S4-05,S4-06,S4-09</x:v>
      </x:c>
      <x:c r="E7" s="18" t="str">
        <x:v>Trên viewport 360px tìm việc đang mở, xem chi tiết
nộp PDF 2MB
đọc mail/mã
tra cứu trạng thái
rút qua liên kết</x:v>
      </x:c>
      <x:c r="F7" s="18" t="str">
        <x:v>Một hồ sơ hợp lệ được tạo; email và mã đúng; trạng thái không lộ ghi chú; rút thành công và recruiter nhận thông báo</x:v>
      </x:c>
      <x:c r="G7" s="18" t="str">
        <x:v>Chưa chạy</x:v>
      </x:c>
      <x:c r="H7" s="18" t="str"/>
    </x:row>
    <x:row r="8" ht="104" customHeight="1">
      <x:c r="A8" s="18" t="str">
        <x:v>E2E-05</x:v>
      </x:c>
      <x:c r="B8" s="18" t="n">
        <x:v>5</x:v>
      </x:c>
      <x:c r="C8" s="18" t="str">
        <x:v>Phát hiện trùng, sàng lọc rồi chuyển pipeline</x:v>
      </x:c>
      <x:c r="D8" s="18" t="str">
        <x:v>S5-01,S5-02,S5-03,S5-04,S5-05,S5-07,S5-08</x:v>
      </x:c>
      <x:c r="E8" s="18" t="str">
        <x:v>Recruiter import/thêm tay hồ sơ trùng
gộp
đánh nhãn/sao
lọc
chuyển sang Sàng lọc rồi Phỏng vấn
thử skip offer</x:v>
      </x:c>
      <x:c r="F8" s="18" t="str">
        <x:v>Không mất lịch sử, kanban/đếm đúng, ghi nhật ký chuyển giai đoạn, bỏ qua phỏng vấn bị chặn</x:v>
      </x:c>
      <x:c r="G8" s="18" t="str">
        <x:v>Chưa chạy</x:v>
      </x:c>
      <x:c r="H8" s="18" t="str"/>
    </x:row>
    <x:row r="9" ht="104" customHeight="1">
      <x:c r="A9" s="18" t="str">
        <x:v>E2E-06</x:v>
      </x:c>
      <x:c r="B9" s="18" t="n">
        <x:v>6</x:v>
      </x:c>
      <x:c r="C9" s="18" t="str">
        <x:v>Đặt lịch, xác nhận, phỏng vấn và nộp phiếu</x:v>
      </x:c>
      <x:c r="D9" s="18" t="str">
        <x:v>S6-02,S6-04,S6-05,S6-06,S6-07,S6-08,S6-09</x:v>
      </x:c>
      <x:c r="E9" s="18" t="str">
        <x:v>Recruiter đặt lịch cho 1 ứng viên, thử phòng trùng
ứng viên xác nhận qua mail
interviewer chấm phiếu theo khung
HM so sánh</x:v>
      </x:c>
      <x:c r="F9" s="18" t="str">
        <x:v>Lịch đúng ICT không trùng; email đúng; phiếu tính trọng số chính xác và chỉ hiện theo quyền</x:v>
      </x:c>
      <x:c r="G9" s="18" t="str">
        <x:v>Chưa chạy</x:v>
      </x:c>
      <x:c r="H9" s="18" t="str"/>
    </x:row>
    <x:row r="10" ht="104" customHeight="1">
      <x:c r="A10" s="18" t="str">
        <x:v>E2E-07</x:v>
      </x:c>
      <x:c r="B10" s="18" t="n">
        <x:v>7</x:v>
      </x:c>
      <x:c r="C10" s="18" t="str">
        <x:v>Quyết định tuyển, offer, chấp nhận và onboarding</x:v>
      </x:c>
      <x:c r="D10" s="18" t="str">
        <x:v>S7-03,S7-04,S7-05,S7-06,S7-07,S7-08</x:v>
      </x:c>
      <x:c r="E10" s="18" t="str">
        <x:v>HM quyết định tuyển
recruiter soạn offer ngoài dải
đi qua cấp duyệt cao
ứng viên chấp nhận
HR hoàn thành checklist</x:v>
      </x:c>
      <x:c r="F10" s="18" t="str">
        <x:v>Offer không gửi khi chưa duyệt; phản hồi cập nhật pipeline; checklist 100% chuyển Đã onboard</x:v>
      </x:c>
      <x:c r="G10" s="18" t="str">
        <x:v>Chưa chạy</x:v>
      </x:c>
      <x:c r="H10" s="18" t="str"/>
    </x:row>
    <x:row r="11" ht="104" customHeight="1">
      <x:c r="A11" s="18" t="str">
        <x:v>E2E-08</x:v>
      </x:c>
      <x:c r="B11" s="18" t="n">
        <x:v>8</x:v>
      </x:c>
      <x:c r="C11" s="18" t="str">
        <x:v>Thông báo, email tự động và số liệu tuyển dụng</x:v>
      </x:c>
      <x:c r="D11" s="18" t="str">
        <x:v>S8-01,S8-02,S8-03,S8-05,S8-06,S8-07,S8-08,S8-09</x:v>
      </x:c>
      <x:c r="E11" s="18" t="str">
        <x:v>HR cấu hình email giai đoạn
chạy vị trí pilot từ REQ tới nhận việc
đọc mail/log/notification
so sánh dashboard/funnel/time-to-hire/nguồn</x:v>
      </x:c>
      <x:c r="F11" s="18" t="str">
        <x:v>Không thiếu thông báo bắt buộc; số liệu báo cáo khớp dữ liệu pilot, quyền dashboard tách theo vai trò</x:v>
      </x:c>
      <x:c r="G11" s="18" t="str">
        <x:v>Chưa chạy</x:v>
      </x:c>
      <x:c r="H11" s="18" t="str"/>
    </x:row>
  </x:sheetData>
  <x:mergeCells>
    <x:mergeCell ref="A1:F1"/>
  </x:mergeCells>
  <x:dataValidations count="1">
    <x:dataValidation type="list" sqref="G4:G11">
      <x:formula1>"Chưa chạy,Pass,Fail,Blocked,N/A"</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5" hidden="0" customWidth="1"/>
    <x:col min="2" max="2" width="19" hidden="0" customWidth="1"/>
    <x:col min="3" max="3" width="23" hidden="0" customWidth="1"/>
    <x:col min="4" max="4" width="34" hidden="0" customWidth="1"/>
    <x:col min="5" max="5" width="67" hidden="0" customWidth="1"/>
    <x:col min="6" max="6" width="46" hidden="0" customWidth="1"/>
    <x:col min="7" max="7" width="68" hidden="0" customWidth="1"/>
  </x:cols>
  <x:sheetData>
    <x:row r="1" ht="36" customHeight="1">
      <x:c r="A1" s="6" t="str">
        <x:v>TEST DATA / FIXTURE GIẢ LẬP – KHÔNG DÙNG THÔNG TIN THẬT</x:v>
      </x:c>
      <x:c r="B1" s="6"/>
      <x:c r="C1" s="6"/>
      <x:c r="D1" s="6"/>
      <x:c r="E1" s="6"/>
      <x:c r="F1" s="6"/>
      <x:c r="G1" s="6"/>
    </x:row>
    <x:row r="3" ht="34" customHeight="1">
      <x:c r="A3" s="13" t="str">
        <x:v>ID</x:v>
      </x:c>
      <x:c r="B3" s="13" t="str">
        <x:v>Loại</x:v>
      </x:c>
      <x:c r="C3" s="13" t="str">
        <x:v>Role / đối tượng</x:v>
      </x:c>
      <x:c r="D3" s="13" t="str">
        <x:v>Định danh</x:v>
      </x:c>
      <x:c r="E3" s="13" t="str">
        <x:v>Dữ liệu mẫu</x:v>
      </x:c>
      <x:c r="F3" s="13" t="str">
        <x:v>Dùng cho</x:v>
      </x:c>
      <x:c r="G3" s="13" t="str">
        <x:v>Ghi chú</x:v>
      </x:c>
    </x:row>
    <x:row r="4" ht="47" customHeight="1">
      <x:c r="A4" s="18" t="str">
        <x:v>ACC-01</x:v>
      </x:c>
      <x:c r="B4" s="18" t="str">
        <x:v>Tài khoản</x:v>
      </x:c>
      <x:c r="C4" s="18" t="str">
        <x:v>Admin</x:v>
      </x:c>
      <x:c r="D4" s="18" t="str">
        <x:v>admin@ats.test</x:v>
      </x:c>
      <x:c r="E4" s="18" t="str">
        <x:v>Tài khoản seed, không lưu mật khẩu trong file</x:v>
      </x:c>
      <x:c r="F4" s="18" t="str">
        <x:v>S1-05, S1-08, S1-09</x:v>
      </x:c>
      <x:c r="G4" s="18" t="str">
        <x:v>Tài khoản quản trị duy nhất trong fixture</x:v>
      </x:c>
    </x:row>
    <x:row r="5" ht="47" customHeight="1">
      <x:c r="A5" s="18" t="str">
        <x:v>ACC-02</x:v>
      </x:c>
      <x:c r="B5" s="18" t="str">
        <x:v>Tài khoản</x:v>
      </x:c>
      <x:c r="C5" s="18" t="str">
        <x:v>Recruiter A</x:v>
      </x:c>
      <x:c r="D5" s="18" t="str">
        <x:v>recruiter.a@ats.test</x:v>
      </x:c>
      <x:c r="E5" s="18" t="str">
        <x:v>Được giao JOB-A, không được giao JOB-B</x:v>
      </x:c>
      <x:c r="F5" s="18" t="str">
        <x:v>RBAC, pipeline, CV</x:v>
      </x:c>
      <x:c r="G5" s="18" t="str">
        <x:v>Tạo thêm Recruiter B để thử chéo quyền</x:v>
      </x:c>
    </x:row>
    <x:row r="6" ht="47" customHeight="1">
      <x:c r="A6" s="18" t="str">
        <x:v>ACC-03</x:v>
      </x:c>
      <x:c r="B6" s="18" t="str">
        <x:v>Tài khoản</x:v>
      </x:c>
      <x:c r="C6" s="18" t="str">
        <x:v>Hiring Manager A</x:v>
      </x:c>
      <x:c r="D6" s="18" t="str">
        <x:v>manager.a@ats.test</x:v>
      </x:c>
      <x:c r="E6" s="18" t="str">
        <x:v>Sở hữu JOB-A; không sở hữu JOB-B</x:v>
      </x:c>
      <x:c r="F6" s="18" t="str">
        <x:v>REQ, đánh giá, dashboard</x:v>
      </x:c>
      <x:c r="G6" s="18" t="str">
        <x:v>Kiểm thử IDOR</x:v>
      </x:c>
    </x:row>
    <x:row r="7" ht="47" customHeight="1">
      <x:c r="A7" s="18" t="str">
        <x:v>ACC-04</x:v>
      </x:c>
      <x:c r="B7" s="18" t="str">
        <x:v>Tài khoản</x:v>
      </x:c>
      <x:c r="C7" s="18" t="str">
        <x:v>Interviewer A</x:v>
      </x:c>
      <x:c r="D7" s="18" t="str">
        <x:v>interviewer.a@ats.test</x:v>
      </x:c>
      <x:c r="E7" s="18" t="str">
        <x:v>Chỉ được mời buổi phỏng vấn A</x:v>
      </x:c>
      <x:c r="F7" s="18" t="str">
        <x:v>Lịch, scorecard</x:v>
      </x:c>
      <x:c r="G7" s="18" t="str">
        <x:v>Tạo interviewer.b để đối chiếu</x:v>
      </x:c>
    </x:row>
    <x:row r="8" ht="47" customHeight="1">
      <x:c r="A8" s="18" t="str">
        <x:v>ACC-05</x:v>
      </x:c>
      <x:c r="B8" s="18" t="str">
        <x:v>Tài khoản</x:v>
      </x:c>
      <x:c r="C8" s="18" t="str">
        <x:v>HR Manager</x:v>
      </x:c>
      <x:c r="D8" s="18" t="str">
        <x:v>hr.manager@ats.test</x:v>
      </x:c>
      <x:c r="E8" s="18" t="str">
        <x:v>Quản lý danh mục, duyệt chuẩn, dashboard</x:v>
      </x:c>
      <x:c r="F8" s="18" t="str">
        <x:v>Tất cả epic</x:v>
      </x:c>
      <x:c r="G8" s="18" t="str">
        <x:v>Quyền theo ma trận được PO duyệt</x:v>
      </x:c>
    </x:row>
    <x:row r="9" ht="47" customHeight="1">
      <x:c r="A9" s="18" t="str">
        <x:v>ACC-06</x:v>
      </x:c>
      <x:c r="B9" s="18" t="str">
        <x:v>Tài khoản</x:v>
      </x:c>
      <x:c r="C9" s="18" t="str">
        <x:v>Approver</x:v>
      </x:c>
      <x:c r="D9" s="18" t="str">
        <x:v>approver.l2@ats.test</x:v>
      </x:c>
      <x:c r="E9" s="18" t="str">
        <x:v>Cấp duyệt cao hơn cho lương vượt dải</x:v>
      </x:c>
      <x:c r="F9" s="18" t="str">
        <x:v>S3-01/02, S7-05</x:v>
      </x:c>
      <x:c r="G9" s="18" t="str">
        <x:v>Tạo L1 và L3 nếu demo 3 cấp</x:v>
      </x:c>
    </x:row>
    <x:row r="10" ht="47" customHeight="1">
      <x:c r="A10" s="18" t="str">
        <x:v>ACC-07</x:v>
      </x:c>
      <x:c r="B10" s="18" t="str">
        <x:v>Tài khoản</x:v>
      </x:c>
      <x:c r="C10" s="18" t="str">
        <x:v>Nhân viên nội bộ</x:v>
      </x:c>
      <x:c r="D10" s="18" t="str">
        <x:v>employee.a@ats.test</x:v>
      </x:c>
      <x:c r="E10" s="18" t="str">
        <x:v>Có thể giới thiệu ứng viên</x:v>
      </x:c>
      <x:c r="F10" s="18" t="str">
        <x:v>Referral / notification</x:v>
      </x:c>
      <x:c r="G10" s="18" t="str">
        <x:v>Quyền cụ thể cần PO xác nhận</x:v>
      </x:c>
    </x:row>
    <x:row r="11" ht="47" customHeight="1">
      <x:c r="A11" s="18" t="str">
        <x:v>CAND-01</x:v>
      </x:c>
      <x:c r="B11" s="18" t="str">
        <x:v>Ứng viên</x:v>
      </x:c>
      <x:c r="C11" s="18" t="str">
        <x:v>Candidate A</x:v>
      </x:c>
      <x:c r="D11" s="18" t="str">
        <x:v>candidate01@example.test</x:v>
      </x:c>
      <x:c r="E11" s="18" t="str">
        <x:v>Nguyễn Minh Test; 0900000001; CV_A.pdf</x:v>
      </x:c>
      <x:c r="F11" s="18" t="str">
        <x:v>Apply/duplicate/status/offer</x:v>
      </x:c>
      <x:c r="G11" s="18" t="str">
        <x:v>Dữ liệu giả; không là tài khoản đăng nhập nội bộ</x:v>
      </x:c>
    </x:row>
    <x:row r="12" ht="47" customHeight="1">
      <x:c r="A12" s="18" t="str">
        <x:v>CAND-02</x:v>
      </x:c>
      <x:c r="B12" s="18" t="str">
        <x:v>Ứng viên</x:v>
      </x:c>
      <x:c r="C12" s="18" t="str">
        <x:v>Candidate B</x:v>
      </x:c>
      <x:c r="D12" s="18" t="str">
        <x:v>candidate02@example.test</x:v>
      </x:c>
      <x:c r="E12" s="18" t="str">
        <x:v>Trần Lan Test; 0900000002; CV_B.docx</x:v>
      </x:c>
      <x:c r="F12" s="18" t="str">
        <x:v>So sánh ứng viên / phỏng vấn</x:v>
      </x:c>
      <x:c r="G12" s="18" t="str">
        <x:v>Dữ liệu giả</x:v>
      </x:c>
    </x:row>
    <x:row r="13" ht="47" customHeight="1">
      <x:c r="A13" s="18" t="str">
        <x:v>ORG-01</x:v>
      </x:c>
      <x:c r="B13" s="18" t="str">
        <x:v>Tổ chức</x:v>
      </x:c>
      <x:c r="C13" s="18" t="str">
        <x:v>Phòng ban</x:v>
      </x:c>
      <x:c r="D13" s="18" t="str">
        <x:v>DEPT-IT</x:v>
      </x:c>
      <x:c r="E13" s="18" t="str">
        <x:v>Phòng Công nghệ, parent=ROOT, owner=Manager A</x:v>
      </x:c>
      <x:c r="F13" s="18" t="str">
        <x:v>EP-02/03</x:v>
      </x:c>
      <x:c r="G13" s="18" t="str">
        <x:v>Tạo thêm DEPT-HR và DEPT-SALES</x:v>
      </x:c>
    </x:row>
    <x:row r="14" ht="47" customHeight="1">
      <x:c r="A14" s="18" t="str">
        <x:v>JOB-01</x:v>
      </x:c>
      <x:c r="B14" s="18" t="str">
        <x:v>Chức danh</x:v>
      </x:c>
      <x:c r="C14" s="18" t="str">
        <x:v>Backend Developer</x:v>
      </x:c>
      <x:c r="D14" s="18" t="str">
        <x:v>ROLE-BE-01</x:v>
      </x:c>
      <x:c r="E14" s="18" t="str">
        <x:v>Dải lương 15–25 triệu VND; khung năng lực 60/40</x:v>
      </x:c>
      <x:c r="F14" s="18" t="str">
        <x:v>REQ, approval, offer</x:v>
      </x:c>
      <x:c r="G14" s="18" t="str">
        <x:v>Mốc lương giả lập, không phải quy định doanh nghiệp</x:v>
      </x:c>
    </x:row>
    <x:row r="15" ht="47" customHeight="1">
      <x:c r="A15" s="18" t="str">
        <x:v>REQ-01</x:v>
      </x:c>
      <x:c r="B15" s="18" t="str">
        <x:v>Yêu cầu</x:v>
      </x:c>
      <x:c r="C15" s="18" t="str">
        <x:v>Headcount</x:v>
      </x:c>
      <x:c r="D15" s="18" t="str">
        <x:v>REQ-TEST-001</x:v>
      </x:c>
      <x:c r="E15" s="18" t="str">
        <x:v>Số lượng 1; ngày cần người 2026-10-20</x:v>
      </x:c>
      <x:c r="F15" s="18" t="str">
        <x:v>EP-03</x:v>
      </x:c>
      <x:c r="G15" s="18" t="str">
        <x:v>Tạo Nháp / Chờ duyệt / Đã duyệt</x:v>
      </x:c>
    </x:row>
    <x:row r="16" ht="47" customHeight="1">
      <x:c r="A16" s="18" t="str">
        <x:v>POST-01</x:v>
      </x:c>
      <x:c r="B16" s="18" t="str">
        <x:v>Tin đăng</x:v>
      </x:c>
      <x:c r="C16" s="18" t="str">
        <x:v>Backend Developer</x:v>
      </x:c>
      <x:c r="D16" s="18" t="str">
        <x:v>JOB-A</x:v>
      </x:c>
      <x:c r="E16" s="18" t="str">
        <x:v>Đã duyệt, mở tới 2026-10-15</x:v>
      </x:c>
      <x:c r="F16" s="18" t="str">
        <x:v>EP-04/05</x:v>
      </x:c>
      <x:c r="G16" s="18" t="str">
        <x:v>Tạo JOB-B thuộc manager khác</x:v>
      </x:c>
    </x:row>
    <x:row r="17" ht="47" customHeight="1">
      <x:c r="A17" s="18" t="str">
        <x:v>CV-01</x:v>
      </x:c>
      <x:c r="B17" s="18" t="str">
        <x:v>Tệp</x:v>
      </x:c>
      <x:c r="C17" s="18" t="str">
        <x:v>Hồ sơ hợp lệ</x:v>
      </x:c>
      <x:c r="D17" s="18" t="str">
        <x:v>CV_A.pdf</x:v>
      </x:c>
      <x:c r="E17" s="18" t="str">
        <x:v>PDF 2MB, có text</x:v>
      </x:c>
      <x:c r="F17" s="18" t="str">
        <x:v>Apply, preview</x:v>
      </x:c>
      <x:c r="G17" s="18" t="str">
        <x:v>Không dùng CV của người thật</x:v>
      </x:c>
    </x:row>
    <x:row r="18" ht="47" customHeight="1">
      <x:c r="A18" s="18" t="str">
        <x:v>CV-02</x:v>
      </x:c>
      <x:c r="B18" s="18" t="str">
        <x:v>Tệp</x:v>
      </x:c>
      <x:c r="C18" s="18" t="str">
        <x:v>Hồ sơ hợp lệ</x:v>
      </x:c>
      <x:c r="D18" s="18" t="str">
        <x:v>CV_B.docx</x:v>
      </x:c>
      <x:c r="E18" s="18" t="str">
        <x:v>DOCX 3MB</x:v>
      </x:c>
      <x:c r="F18" s="18" t="str">
        <x:v>Apply</x:v>
      </x:c>
      <x:c r="G18" s="18" t="str">
        <x:v>Kiểm thử cả MIME lẫn extension</x:v>
      </x:c>
    </x:row>
    <x:row r="19" ht="47" customHeight="1">
      <x:c r="A19" s="18" t="str">
        <x:v>CV-03</x:v>
      </x:c>
      <x:c r="B19" s="18" t="str">
        <x:v>Tệp</x:v>
      </x:c>
      <x:c r="C19" s="18" t="str">
        <x:v>Kiểm tra biên</x:v>
      </x:c>
      <x:c r="D19" s="18" t="str">
        <x:v>CV_10MB.pdf</x:v>
      </x:c>
      <x:c r="E19" s="18" t="str">
        <x:v>PDF đúng 10MB</x:v>
      </x:c>
      <x:c r="F19" s="18" t="str">
        <x:v>Upload boundary</x:v>
      </x:c>
      <x:c r="G19" s="18" t="str">
        <x:v>Nên tạo bằng script fixture</x:v>
      </x:c>
    </x:row>
    <x:row r="20" ht="47" customHeight="1">
      <x:c r="A20" s="18" t="str">
        <x:v>CV-04</x:v>
      </x:c>
      <x:c r="B20" s="18" t="str">
        <x:v>Tệp</x:v>
      </x:c>
      <x:c r="C20" s="18" t="str">
        <x:v>Kiểm tra biên</x:v>
      </x:c>
      <x:c r="D20" s="18" t="str">
        <x:v>CV_over.pdf</x:v>
      </x:c>
      <x:c r="E20" s="18" t="str">
        <x:v>PDF 10MB + 1 byte</x:v>
      </x:c>
      <x:c r="F20" s="18" t="str">
        <x:v>Upload reject</x:v>
      </x:c>
      <x:c r="G20" s="18" t="str">
        <x:v>Nên tạo bằng script fixture</x:v>
      </x:c>
    </x:row>
    <x:row r="21" ht="47" customHeight="1">
      <x:c r="A21" s="18" t="str">
        <x:v>CV-05</x:v>
      </x:c>
      <x:c r="B21" s="18" t="str">
        <x:v>Tệp</x:v>
      </x:c>
      <x:c r="C21" s="18" t="str">
        <x:v>Định dạng lỗi</x:v>
      </x:c>
      <x:c r="D21" s="18" t="str">
        <x:v>CV_fake.pdf</x:v>
      </x:c>
      <x:c r="E21" s="18" t="str">
        <x:v>Text đổi extension thành PDF</x:v>
      </x:c>
      <x:c r="F21" s="18" t="str">
        <x:v>File validation</x:v>
      </x:c>
      <x:c r="G21" s="18" t="str">
        <x:v>Không mở trực tiếp file không an toàn</x:v>
      </x:c>
    </x:row>
    <x:row r="22" ht="47" customHeight="1">
      <x:c r="A22" s="18" t="str">
        <x:v>INT-01</x:v>
      </x:c>
      <x:c r="B22" s="18" t="str">
        <x:v>Phỏng vấn</x:v>
      </x:c>
      <x:c r="C22" s="18" t="str">
        <x:v>INTERVIEW-A</x:v>
      </x:c>
      <x:c r="D22" s="18" t="str">
        <x:v>2026-10-05 09:00 ICT</x:v>
      </x:c>
      <x:c r="E22" s="18" t="str">
        <x:v>Interviewer A; Phòng họp A; 60 phút</x:v>
      </x:c>
      <x:c r="F22" s="18" t="str">
        <x:v>EP-06</x:v>
      </x:c>
      <x:c r="G22" s="18" t="str">
        <x:v>Tạo lịch B trùng từng phần khung giờ</x:v>
      </x:c>
    </x:row>
    <x:row r="23" ht="47" customHeight="1">
      <x:c r="A23" s="18" t="str">
        <x:v>OFFER-01</x:v>
      </x:c>
      <x:c r="B23" s="18" t="str">
        <x:v>Offer</x:v>
      </x:c>
      <x:c r="C23" s="18" t="str">
        <x:v>Ứng viên A</x:v>
      </x:c>
      <x:c r="D23" s="18" t="str">
        <x:v>OFFER-A</x:v>
      </x:c>
      <x:c r="E23" s="18" t="str">
        <x:v>Lương 20 triệu, hiệu lực 7 ngày</x:v>
      </x:c>
      <x:c r="F23" s="18" t="str">
        <x:v>EP-07</x:v>
      </x:c>
      <x:c r="G23" s="18" t="str">
        <x:v>Thử ngoại lệ 30 triệu vượt khung</x:v>
      </x:c>
    </x:row>
    <x:row r="24" ht="47" customHeight="1">
      <x:c r="A24" s="18" t="str">
        <x:v>EMAIL-01</x:v>
      </x:c>
      <x:c r="B24" s="18" t="str">
        <x:v>SMTP sandbox</x:v>
      </x:c>
      <x:c r="C24" s="18" t="str">
        <x:v>Test mailbox</x:v>
      </x:c>
      <x:c r="D24" s="18" t="str">
        <x:v>mail-sandbox.local</x:v>
      </x:c>
      <x:c r="E24" s="18" t="str">
        <x:v>Ghi nhận message_id, nội dung, thời gian</x:v>
      </x:c>
      <x:c r="F24" s="18" t="str">
        <x:v>EP-04/06/07/08</x:v>
      </x:c>
      <x:c r="G24" s="18" t="str">
        <x:v>Không gửi email tới người thật</x:v>
      </x:c>
    </x:row>
    <x:row r="25" ht="47" customHeight="1">
      <x:c r="A25" s="18" t="str">
        <x:v>LOAD-01</x:v>
      </x:c>
      <x:c r="B25" s="18" t="str">
        <x:v>Synthetic dataset</x:v>
      </x:c>
      <x:c r="C25" s="18" t="str">
        <x:v>Load test</x:v>
      </x:c>
      <x:c r="D25" s="18" t="str">
        <x:v>load-seed-20k</x:v>
      </x:c>
      <x:c r="E25" s="18" t="str">
        <x:v>20.000 CV giả / 200 vị trí / 400 user test</x:v>
      </x:c>
      <x:c r="F25" s="18" t="str">
        <x:v>NFR-01/03/04</x:v>
      </x:c>
      <x:c r="G25" s="18" t="str">
        <x:v>Chạy riêng trên staging, xoá dữ liệu sau test</x:v>
      </x:c>
    </x:row>
  </x:sheetData>
  <x:mergeCells>
    <x:mergeCell ref="A1:G1"/>
  </x:mergeCells>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19" hidden="0" customWidth="1"/>
    <x:col min="3" max="3" width="21" hidden="0" customWidth="1"/>
    <x:col min="4" max="4" width="25" hidden="0" customWidth="1"/>
    <x:col min="5" max="5" width="69" hidden="0" customWidth="1"/>
    <x:col min="6" max="6" width="94" hidden="0" customWidth="1"/>
    <x:col min="7" max="7" width="72" hidden="0" customWidth="1"/>
    <x:col min="8" max="8" width="74" hidden="0" customWidth="1"/>
    <x:col min="9" max="9" width="16" hidden="0" customWidth="1"/>
    <x:col min="10" max="10" width="20" hidden="0" customWidth="1"/>
    <x:col min="11" max="11" width="23" hidden="0" customWidth="1"/>
    <x:col min="12" max="12" width="50" hidden="0" customWidth="1"/>
  </x:cols>
  <x:sheetData>
    <x:row r="1" ht="36" customHeight="1">
      <x:c r="A1" s="6" t="str">
        <x:v>BUG LOG | THEO DÕI KHI TC FAIL</x:v>
      </x:c>
      <x:c r="B1" s="6"/>
      <x:c r="C1" s="6"/>
      <x:c r="D1" s="6"/>
      <x:c r="E1" s="6"/>
      <x:c r="F1" s="6"/>
      <x:c r="G1" s="6"/>
      <x:c r="H1" s="6"/>
      <x:c r="I1" s="6"/>
      <x:c r="J1" s="6"/>
      <x:c r="K1" s="6"/>
      <x:c r="L1" s="6"/>
    </x:row>
    <x:row r="2" ht="22" customHeight="1">
      <x:c r="A2" s="23" t="str">
        <x:v>Chỉ tạo BUG ID khi phát hiện lỗi thực tế; không có lỗi giả lập nào được ghi sẵn.</x:v>
      </x:c>
      <x:c r="B2" s="23"/>
      <x:c r="C2" s="23"/>
      <x:c r="D2" s="23"/>
      <x:c r="E2" s="23"/>
      <x:c r="F2" s="23"/>
      <x:c r="G2" s="23"/>
      <x:c r="H2" s="23"/>
      <x:c r="I2" s="23"/>
      <x:c r="J2" s="23"/>
      <x:c r="K2" s="23"/>
      <x:c r="L2" s="23"/>
    </x:row>
    <x:row r="4" ht="34" customHeight="1">
      <x:c r="A4" s="13" t="str">
        <x:v>Bug ID</x:v>
      </x:c>
      <x:c r="B4" s="13" t="str">
        <x:v>Ngày phát hiện</x:v>
      </x:c>
      <x:c r="C4" s="13" t="str">
        <x:v>TC ID</x:v>
      </x:c>
      <x:c r="D4" s="13" t="str">
        <x:v>Epic / Story</x:v>
      </x:c>
      <x:c r="E4" s="13" t="str">
        <x:v>Tiêu đề lỗi</x:v>
      </x:c>
      <x:c r="F4" s="13" t="str">
        <x:v>Bước tái hiện</x:v>
      </x:c>
      <x:c r="G4" s="13" t="str">
        <x:v>Mong đợi</x:v>
      </x:c>
      <x:c r="H4" s="13" t="str">
        <x:v>Thực tế</x:v>
      </x:c>
      <x:c r="I4" s="13" t="str">
        <x:v>Severity</x:v>
      </x:c>
      <x:c r="J4" s="13" t="str">
        <x:v>Trạng thái</x:v>
      </x:c>
      <x:c r="K4" s="13" t="str">
        <x:v>Người xử lý</x:v>
      </x:c>
      <x:c r="L4" s="13" t="str">
        <x:v>Link Jira/Ảnh</x:v>
      </x:c>
    </x:row>
    <x:row r="5" ht="50" customHeight="1">
      <x:c r="A5" s="18"/>
      <x:c r="B5" s="42"/>
      <x:c r="C5" s="18"/>
      <x:c r="D5" s="18"/>
      <x:c r="E5" s="18"/>
      <x:c r="F5" s="18"/>
      <x:c r="G5" s="18"/>
      <x:c r="H5" s="18"/>
      <x:c r="I5" s="18"/>
      <x:c r="J5" s="18"/>
      <x:c r="K5" s="18"/>
      <x:c r="L5" s="18"/>
    </x:row>
    <x:row r="6" ht="50" customHeight="1">
      <x:c r="A6" s="18"/>
      <x:c r="B6" s="42"/>
      <x:c r="C6" s="18"/>
      <x:c r="D6" s="18"/>
      <x:c r="E6" s="18"/>
      <x:c r="F6" s="18"/>
      <x:c r="G6" s="18"/>
      <x:c r="H6" s="18"/>
      <x:c r="I6" s="18"/>
      <x:c r="J6" s="18"/>
      <x:c r="K6" s="18"/>
      <x:c r="L6" s="18"/>
    </x:row>
    <x:row r="7" ht="50" customHeight="1">
      <x:c r="A7" s="18"/>
      <x:c r="B7" s="42"/>
      <x:c r="C7" s="18"/>
      <x:c r="D7" s="18"/>
      <x:c r="E7" s="18"/>
      <x:c r="F7" s="18"/>
      <x:c r="G7" s="18"/>
      <x:c r="H7" s="18"/>
      <x:c r="I7" s="18"/>
      <x:c r="J7" s="18"/>
      <x:c r="K7" s="18"/>
      <x:c r="L7" s="18"/>
    </x:row>
    <x:row r="8" ht="50" customHeight="1">
      <x:c r="A8" s="18"/>
      <x:c r="B8" s="42"/>
      <x:c r="C8" s="18"/>
      <x:c r="D8" s="18"/>
      <x:c r="E8" s="18"/>
      <x:c r="F8" s="18"/>
      <x:c r="G8" s="18"/>
      <x:c r="H8" s="18"/>
      <x:c r="I8" s="18"/>
      <x:c r="J8" s="18"/>
      <x:c r="K8" s="18"/>
      <x:c r="L8" s="18"/>
    </x:row>
    <x:row r="9" ht="50" customHeight="1">
      <x:c r="A9" s="18"/>
      <x:c r="B9" s="42"/>
      <x:c r="C9" s="18"/>
      <x:c r="D9" s="18"/>
      <x:c r="E9" s="18"/>
      <x:c r="F9" s="18"/>
      <x:c r="G9" s="18"/>
      <x:c r="H9" s="18"/>
      <x:c r="I9" s="18"/>
      <x:c r="J9" s="18"/>
      <x:c r="K9" s="18"/>
      <x:c r="L9" s="18"/>
    </x:row>
    <x:row r="10" ht="50" customHeight="1">
      <x:c r="A10" s="18"/>
      <x:c r="B10" s="42"/>
      <x:c r="C10" s="18"/>
      <x:c r="D10" s="18"/>
      <x:c r="E10" s="18"/>
      <x:c r="F10" s="18"/>
      <x:c r="G10" s="18"/>
      <x:c r="H10" s="18"/>
      <x:c r="I10" s="18"/>
      <x:c r="J10" s="18"/>
      <x:c r="K10" s="18"/>
      <x:c r="L10" s="18"/>
    </x:row>
    <x:row r="11" ht="50" customHeight="1">
      <x:c r="A11" s="18"/>
      <x:c r="B11" s="42"/>
      <x:c r="C11" s="18"/>
      <x:c r="D11" s="18"/>
      <x:c r="E11" s="18"/>
      <x:c r="F11" s="18"/>
      <x:c r="G11" s="18"/>
      <x:c r="H11" s="18"/>
      <x:c r="I11" s="18"/>
      <x:c r="J11" s="18"/>
      <x:c r="K11" s="18"/>
      <x:c r="L11" s="18"/>
    </x:row>
    <x:row r="12" ht="50" customHeight="1">
      <x:c r="A12" s="18"/>
      <x:c r="B12" s="42"/>
      <x:c r="C12" s="18"/>
      <x:c r="D12" s="18"/>
      <x:c r="E12" s="18"/>
      <x:c r="F12" s="18"/>
      <x:c r="G12" s="18"/>
      <x:c r="H12" s="18"/>
      <x:c r="I12" s="18"/>
      <x:c r="J12" s="18"/>
      <x:c r="K12" s="18"/>
      <x:c r="L12" s="18"/>
    </x:row>
    <x:row r="13" ht="50" customHeight="1">
      <x:c r="A13" s="18"/>
      <x:c r="B13" s="42"/>
      <x:c r="C13" s="18"/>
      <x:c r="D13" s="18"/>
      <x:c r="E13" s="18"/>
      <x:c r="F13" s="18"/>
      <x:c r="G13" s="18"/>
      <x:c r="H13" s="18"/>
      <x:c r="I13" s="18"/>
      <x:c r="J13" s="18"/>
      <x:c r="K13" s="18"/>
      <x:c r="L13" s="18"/>
    </x:row>
    <x:row r="14" ht="50" customHeight="1">
      <x:c r="A14" s="18"/>
      <x:c r="B14" s="42"/>
      <x:c r="C14" s="18"/>
      <x:c r="D14" s="18"/>
      <x:c r="E14" s="18"/>
      <x:c r="F14" s="18"/>
      <x:c r="G14" s="18"/>
      <x:c r="H14" s="18"/>
      <x:c r="I14" s="18"/>
      <x:c r="J14" s="18"/>
      <x:c r="K14" s="18"/>
      <x:c r="L14" s="18"/>
    </x:row>
    <x:row r="15" ht="50" customHeight="1">
      <x:c r="A15" s="18"/>
      <x:c r="B15" s="42"/>
      <x:c r="C15" s="18"/>
      <x:c r="D15" s="18"/>
      <x:c r="E15" s="18"/>
      <x:c r="F15" s="18"/>
      <x:c r="G15" s="18"/>
      <x:c r="H15" s="18"/>
      <x:c r="I15" s="18"/>
      <x:c r="J15" s="18"/>
      <x:c r="K15" s="18"/>
      <x:c r="L15" s="18"/>
    </x:row>
    <x:row r="16" ht="50" customHeight="1">
      <x:c r="A16" s="18"/>
      <x:c r="B16" s="42"/>
      <x:c r="C16" s="18"/>
      <x:c r="D16" s="18"/>
      <x:c r="E16" s="18"/>
      <x:c r="F16" s="18"/>
      <x:c r="G16" s="18"/>
      <x:c r="H16" s="18"/>
      <x:c r="I16" s="18"/>
      <x:c r="J16" s="18"/>
      <x:c r="K16" s="18"/>
      <x:c r="L16" s="18"/>
    </x:row>
    <x:row r="17" ht="50" customHeight="1">
      <x:c r="A17" s="18"/>
      <x:c r="B17" s="42"/>
      <x:c r="C17" s="18"/>
      <x:c r="D17" s="18"/>
      <x:c r="E17" s="18"/>
      <x:c r="F17" s="18"/>
      <x:c r="G17" s="18"/>
      <x:c r="H17" s="18"/>
      <x:c r="I17" s="18"/>
      <x:c r="J17" s="18"/>
      <x:c r="K17" s="18"/>
      <x:c r="L17" s="18"/>
    </x:row>
    <x:row r="18" ht="50" customHeight="1">
      <x:c r="A18" s="18"/>
      <x:c r="B18" s="42"/>
      <x:c r="C18" s="18"/>
      <x:c r="D18" s="18"/>
      <x:c r="E18" s="18"/>
      <x:c r="F18" s="18"/>
      <x:c r="G18" s="18"/>
      <x:c r="H18" s="18"/>
      <x:c r="I18" s="18"/>
      <x:c r="J18" s="18"/>
      <x:c r="K18" s="18"/>
      <x:c r="L18" s="18"/>
    </x:row>
    <x:row r="19" ht="50" customHeight="1">
      <x:c r="A19" s="18"/>
      <x:c r="B19" s="42"/>
      <x:c r="C19" s="18"/>
      <x:c r="D19" s="18"/>
      <x:c r="E19" s="18"/>
      <x:c r="F19" s="18"/>
      <x:c r="G19" s="18"/>
      <x:c r="H19" s="18"/>
      <x:c r="I19" s="18"/>
      <x:c r="J19" s="18"/>
      <x:c r="K19" s="18"/>
      <x:c r="L19" s="18"/>
    </x:row>
    <x:row r="20" ht="50" customHeight="1">
      <x:c r="A20" s="18"/>
      <x:c r="B20" s="42"/>
      <x:c r="C20" s="18"/>
      <x:c r="D20" s="18"/>
      <x:c r="E20" s="18"/>
      <x:c r="F20" s="18"/>
      <x:c r="G20" s="18"/>
      <x:c r="H20" s="18"/>
      <x:c r="I20" s="18"/>
      <x:c r="J20" s="18"/>
      <x:c r="K20" s="18"/>
      <x:c r="L20" s="18"/>
    </x:row>
    <x:row r="21" ht="50" customHeight="1">
      <x:c r="A21" s="18"/>
      <x:c r="B21" s="42"/>
      <x:c r="C21" s="18"/>
      <x:c r="D21" s="18"/>
      <x:c r="E21" s="18"/>
      <x:c r="F21" s="18"/>
      <x:c r="G21" s="18"/>
      <x:c r="H21" s="18"/>
      <x:c r="I21" s="18"/>
      <x:c r="J21" s="18"/>
      <x:c r="K21" s="18"/>
      <x:c r="L21" s="18"/>
    </x:row>
    <x:row r="22" ht="50" customHeight="1">
      <x:c r="A22" s="18"/>
      <x:c r="B22" s="42"/>
      <x:c r="C22" s="18"/>
      <x:c r="D22" s="18"/>
      <x:c r="E22" s="18"/>
      <x:c r="F22" s="18"/>
      <x:c r="G22" s="18"/>
      <x:c r="H22" s="18"/>
      <x:c r="I22" s="18"/>
      <x:c r="J22" s="18"/>
      <x:c r="K22" s="18"/>
      <x:c r="L22" s="18"/>
    </x:row>
    <x:row r="23" ht="50" customHeight="1">
      <x:c r="A23" s="18"/>
      <x:c r="B23" s="42"/>
      <x:c r="C23" s="18"/>
      <x:c r="D23" s="18"/>
      <x:c r="E23" s="18"/>
      <x:c r="F23" s="18"/>
      <x:c r="G23" s="18"/>
      <x:c r="H23" s="18"/>
      <x:c r="I23" s="18"/>
      <x:c r="J23" s="18"/>
      <x:c r="K23" s="18"/>
      <x:c r="L23" s="18"/>
    </x:row>
    <x:row r="24" ht="50" customHeight="1">
      <x:c r="A24" s="18"/>
      <x:c r="B24" s="42"/>
      <x:c r="C24" s="18"/>
      <x:c r="D24" s="18"/>
      <x:c r="E24" s="18"/>
      <x:c r="F24" s="18"/>
      <x:c r="G24" s="18"/>
      <x:c r="H24" s="18"/>
      <x:c r="I24" s="18"/>
      <x:c r="J24" s="18"/>
      <x:c r="K24" s="18"/>
      <x:c r="L24" s="18"/>
    </x:row>
    <x:row r="25" ht="50" customHeight="1">
      <x:c r="A25" s="18"/>
      <x:c r="B25" s="42"/>
      <x:c r="C25" s="18"/>
      <x:c r="D25" s="18"/>
      <x:c r="E25" s="18"/>
      <x:c r="F25" s="18"/>
      <x:c r="G25" s="18"/>
      <x:c r="H25" s="18"/>
      <x:c r="I25" s="18"/>
      <x:c r="J25" s="18"/>
      <x:c r="K25" s="18"/>
      <x:c r="L25" s="18"/>
    </x:row>
    <x:row r="26" ht="50" customHeight="1">
      <x:c r="A26" s="18"/>
      <x:c r="B26" s="42"/>
      <x:c r="C26" s="18"/>
      <x:c r="D26" s="18"/>
      <x:c r="E26" s="18"/>
      <x:c r="F26" s="18"/>
      <x:c r="G26" s="18"/>
      <x:c r="H26" s="18"/>
      <x:c r="I26" s="18"/>
      <x:c r="J26" s="18"/>
      <x:c r="K26" s="18"/>
      <x:c r="L26" s="18"/>
    </x:row>
    <x:row r="27" ht="50" customHeight="1">
      <x:c r="A27" s="18"/>
      <x:c r="B27" s="42"/>
      <x:c r="C27" s="18"/>
      <x:c r="D27" s="18"/>
      <x:c r="E27" s="18"/>
      <x:c r="F27" s="18"/>
      <x:c r="G27" s="18"/>
      <x:c r="H27" s="18"/>
      <x:c r="I27" s="18"/>
      <x:c r="J27" s="18"/>
      <x:c r="K27" s="18"/>
      <x:c r="L27" s="18"/>
    </x:row>
    <x:row r="28" ht="50" customHeight="1">
      <x:c r="A28" s="18"/>
      <x:c r="B28" s="42"/>
      <x:c r="C28" s="18"/>
      <x:c r="D28" s="18"/>
      <x:c r="E28" s="18"/>
      <x:c r="F28" s="18"/>
      <x:c r="G28" s="18"/>
      <x:c r="H28" s="18"/>
      <x:c r="I28" s="18"/>
      <x:c r="J28" s="18"/>
      <x:c r="K28" s="18"/>
      <x:c r="L28" s="18"/>
    </x:row>
    <x:row r="29" ht="50" customHeight="1">
      <x:c r="A29" s="18"/>
      <x:c r="B29" s="42"/>
      <x:c r="C29" s="18"/>
      <x:c r="D29" s="18"/>
      <x:c r="E29" s="18"/>
      <x:c r="F29" s="18"/>
      <x:c r="G29" s="18"/>
      <x:c r="H29" s="18"/>
      <x:c r="I29" s="18"/>
      <x:c r="J29" s="18"/>
      <x:c r="K29" s="18"/>
      <x:c r="L29" s="18"/>
    </x:row>
    <x:row r="30" ht="50" customHeight="1">
      <x:c r="A30" s="18"/>
      <x:c r="B30" s="42"/>
      <x:c r="C30" s="18"/>
      <x:c r="D30" s="18"/>
      <x:c r="E30" s="18"/>
      <x:c r="F30" s="18"/>
      <x:c r="G30" s="18"/>
      <x:c r="H30" s="18"/>
      <x:c r="I30" s="18"/>
      <x:c r="J30" s="18"/>
      <x:c r="K30" s="18"/>
      <x:c r="L30" s="18"/>
    </x:row>
    <x:row r="31" ht="50" customHeight="1">
      <x:c r="A31" s="18"/>
      <x:c r="B31" s="42"/>
      <x:c r="C31" s="18"/>
      <x:c r="D31" s="18"/>
      <x:c r="E31" s="18"/>
      <x:c r="F31" s="18"/>
      <x:c r="G31" s="18"/>
      <x:c r="H31" s="18"/>
      <x:c r="I31" s="18"/>
      <x:c r="J31" s="18"/>
      <x:c r="K31" s="18"/>
      <x:c r="L31" s="18"/>
    </x:row>
    <x:row r="32" ht="50" customHeight="1">
      <x:c r="A32" s="18"/>
      <x:c r="B32" s="42"/>
      <x:c r="C32" s="18"/>
      <x:c r="D32" s="18"/>
      <x:c r="E32" s="18"/>
      <x:c r="F32" s="18"/>
      <x:c r="G32" s="18"/>
      <x:c r="H32" s="18"/>
      <x:c r="I32" s="18"/>
      <x:c r="J32" s="18"/>
      <x:c r="K32" s="18"/>
      <x:c r="L32" s="18"/>
    </x:row>
    <x:row r="33" ht="50" customHeight="1">
      <x:c r="A33" s="18"/>
      <x:c r="B33" s="42"/>
      <x:c r="C33" s="18"/>
      <x:c r="D33" s="18"/>
      <x:c r="E33" s="18"/>
      <x:c r="F33" s="18"/>
      <x:c r="G33" s="18"/>
      <x:c r="H33" s="18"/>
      <x:c r="I33" s="18"/>
      <x:c r="J33" s="18"/>
      <x:c r="K33" s="18"/>
      <x:c r="L33" s="18"/>
    </x:row>
    <x:row r="34" ht="50" customHeight="1">
      <x:c r="A34" s="18"/>
      <x:c r="B34" s="42"/>
      <x:c r="C34" s="18"/>
      <x:c r="D34" s="18"/>
      <x:c r="E34" s="18"/>
      <x:c r="F34" s="18"/>
      <x:c r="G34" s="18"/>
      <x:c r="H34" s="18"/>
      <x:c r="I34" s="18"/>
      <x:c r="J34" s="18"/>
      <x:c r="K34" s="18"/>
      <x:c r="L34" s="18"/>
    </x:row>
    <x:row r="35" ht="50" customHeight="1">
      <x:c r="A35" s="18"/>
      <x:c r="B35" s="42"/>
      <x:c r="C35" s="18"/>
      <x:c r="D35" s="18"/>
      <x:c r="E35" s="18"/>
      <x:c r="F35" s="18"/>
      <x:c r="G35" s="18"/>
      <x:c r="H35" s="18"/>
      <x:c r="I35" s="18"/>
      <x:c r="J35" s="18"/>
      <x:c r="K35" s="18"/>
      <x:c r="L35" s="18"/>
    </x:row>
    <x:row r="36" ht="50" customHeight="1">
      <x:c r="A36" s="18"/>
      <x:c r="B36" s="42"/>
      <x:c r="C36" s="18"/>
      <x:c r="D36" s="18"/>
      <x:c r="E36" s="18"/>
      <x:c r="F36" s="18"/>
      <x:c r="G36" s="18"/>
      <x:c r="H36" s="18"/>
      <x:c r="I36" s="18"/>
      <x:c r="J36" s="18"/>
      <x:c r="K36" s="18"/>
      <x:c r="L36" s="18"/>
    </x:row>
    <x:row r="37" ht="50" customHeight="1">
      <x:c r="A37" s="18"/>
      <x:c r="B37" s="42"/>
      <x:c r="C37" s="18"/>
      <x:c r="D37" s="18"/>
      <x:c r="E37" s="18"/>
      <x:c r="F37" s="18"/>
      <x:c r="G37" s="18"/>
      <x:c r="H37" s="18"/>
      <x:c r="I37" s="18"/>
      <x:c r="J37" s="18"/>
      <x:c r="K37" s="18"/>
      <x:c r="L37" s="18"/>
    </x:row>
    <x:row r="38" ht="50" customHeight="1">
      <x:c r="A38" s="18"/>
      <x:c r="B38" s="42"/>
      <x:c r="C38" s="18"/>
      <x:c r="D38" s="18"/>
      <x:c r="E38" s="18"/>
      <x:c r="F38" s="18"/>
      <x:c r="G38" s="18"/>
      <x:c r="H38" s="18"/>
      <x:c r="I38" s="18"/>
      <x:c r="J38" s="18"/>
      <x:c r="K38" s="18"/>
      <x:c r="L38" s="18"/>
    </x:row>
    <x:row r="39" ht="50" customHeight="1">
      <x:c r="A39" s="18"/>
      <x:c r="B39" s="42"/>
      <x:c r="C39" s="18"/>
      <x:c r="D39" s="18"/>
      <x:c r="E39" s="18"/>
      <x:c r="F39" s="18"/>
      <x:c r="G39" s="18"/>
      <x:c r="H39" s="18"/>
      <x:c r="I39" s="18"/>
      <x:c r="J39" s="18"/>
      <x:c r="K39" s="18"/>
      <x:c r="L39" s="18"/>
    </x:row>
    <x:row r="40" ht="50" customHeight="1">
      <x:c r="A40" s="18"/>
      <x:c r="B40" s="42"/>
      <x:c r="C40" s="18"/>
      <x:c r="D40" s="18"/>
      <x:c r="E40" s="18"/>
      <x:c r="F40" s="18"/>
      <x:c r="G40" s="18"/>
      <x:c r="H40" s="18"/>
      <x:c r="I40" s="18"/>
      <x:c r="J40" s="18"/>
      <x:c r="K40" s="18"/>
      <x:c r="L40" s="18"/>
    </x:row>
    <x:row r="41" ht="50" customHeight="1">
      <x:c r="A41" s="18"/>
      <x:c r="B41" s="42"/>
      <x:c r="C41" s="18"/>
      <x:c r="D41" s="18"/>
      <x:c r="E41" s="18"/>
      <x:c r="F41" s="18"/>
      <x:c r="G41" s="18"/>
      <x:c r="H41" s="18"/>
      <x:c r="I41" s="18"/>
      <x:c r="J41" s="18"/>
      <x:c r="K41" s="18"/>
      <x:c r="L41" s="18"/>
    </x:row>
    <x:row r="42" ht="50" customHeight="1">
      <x:c r="A42" s="18"/>
      <x:c r="B42" s="42"/>
      <x:c r="C42" s="18"/>
      <x:c r="D42" s="18"/>
      <x:c r="E42" s="18"/>
      <x:c r="F42" s="18"/>
      <x:c r="G42" s="18"/>
      <x:c r="H42" s="18"/>
      <x:c r="I42" s="18"/>
      <x:c r="J42" s="18"/>
      <x:c r="K42" s="18"/>
      <x:c r="L42" s="18"/>
    </x:row>
    <x:row r="43" ht="50" customHeight="1">
      <x:c r="A43" s="18"/>
      <x:c r="B43" s="42"/>
      <x:c r="C43" s="18"/>
      <x:c r="D43" s="18"/>
      <x:c r="E43" s="18"/>
      <x:c r="F43" s="18"/>
      <x:c r="G43" s="18"/>
      <x:c r="H43" s="18"/>
      <x:c r="I43" s="18"/>
      <x:c r="J43" s="18"/>
      <x:c r="K43" s="18"/>
      <x:c r="L43" s="18"/>
    </x:row>
    <x:row r="44" ht="50" customHeight="1">
      <x:c r="A44" s="18"/>
      <x:c r="B44" s="42"/>
      <x:c r="C44" s="18"/>
      <x:c r="D44" s="18"/>
      <x:c r="E44" s="18"/>
      <x:c r="F44" s="18"/>
      <x:c r="G44" s="18"/>
      <x:c r="H44" s="18"/>
      <x:c r="I44" s="18"/>
      <x:c r="J44" s="18"/>
      <x:c r="K44" s="18"/>
      <x:c r="L44" s="18"/>
    </x:row>
    <x:row r="45" ht="50" customHeight="1">
      <x:c r="A45" s="18"/>
      <x:c r="B45" s="42"/>
      <x:c r="C45" s="18"/>
      <x:c r="D45" s="18"/>
      <x:c r="E45" s="18"/>
      <x:c r="F45" s="18"/>
      <x:c r="G45" s="18"/>
      <x:c r="H45" s="18"/>
      <x:c r="I45" s="18"/>
      <x:c r="J45" s="18"/>
      <x:c r="K45" s="18"/>
      <x:c r="L45" s="18"/>
    </x:row>
    <x:row r="46" ht="50" customHeight="1">
      <x:c r="A46" s="18"/>
      <x:c r="B46" s="42"/>
      <x:c r="C46" s="18"/>
      <x:c r="D46" s="18"/>
      <x:c r="E46" s="18"/>
      <x:c r="F46" s="18"/>
      <x:c r="G46" s="18"/>
      <x:c r="H46" s="18"/>
      <x:c r="I46" s="18"/>
      <x:c r="J46" s="18"/>
      <x:c r="K46" s="18"/>
      <x:c r="L46" s="18"/>
    </x:row>
    <x:row r="47" ht="50" customHeight="1">
      <x:c r="A47" s="18"/>
      <x:c r="B47" s="42"/>
      <x:c r="C47" s="18"/>
      <x:c r="D47" s="18"/>
      <x:c r="E47" s="18"/>
      <x:c r="F47" s="18"/>
      <x:c r="G47" s="18"/>
      <x:c r="H47" s="18"/>
      <x:c r="I47" s="18"/>
      <x:c r="J47" s="18"/>
      <x:c r="K47" s="18"/>
      <x:c r="L47" s="18"/>
    </x:row>
    <x:row r="48" ht="50" customHeight="1">
      <x:c r="A48" s="18"/>
      <x:c r="B48" s="42"/>
      <x:c r="C48" s="18"/>
      <x:c r="D48" s="18"/>
      <x:c r="E48" s="18"/>
      <x:c r="F48" s="18"/>
      <x:c r="G48" s="18"/>
      <x:c r="H48" s="18"/>
      <x:c r="I48" s="18"/>
      <x:c r="J48" s="18"/>
      <x:c r="K48" s="18"/>
      <x:c r="L48" s="18"/>
    </x:row>
    <x:row r="49" ht="50" customHeight="1">
      <x:c r="A49" s="18"/>
      <x:c r="B49" s="42"/>
      <x:c r="C49" s="18"/>
      <x:c r="D49" s="18"/>
      <x:c r="E49" s="18"/>
      <x:c r="F49" s="18"/>
      <x:c r="G49" s="18"/>
      <x:c r="H49" s="18"/>
      <x:c r="I49" s="18"/>
      <x:c r="J49" s="18"/>
      <x:c r="K49" s="18"/>
      <x:c r="L49" s="18"/>
    </x:row>
    <x:row r="50" ht="50" customHeight="1">
      <x:c r="A50" s="18"/>
      <x:c r="B50" s="42"/>
      <x:c r="C50" s="18"/>
      <x:c r="D50" s="18"/>
      <x:c r="E50" s="18"/>
      <x:c r="F50" s="18"/>
      <x:c r="G50" s="18"/>
      <x:c r="H50" s="18"/>
      <x:c r="I50" s="18"/>
      <x:c r="J50" s="18"/>
      <x:c r="K50" s="18"/>
      <x:c r="L50" s="18"/>
    </x:row>
    <x:row r="51" ht="50" customHeight="1">
      <x:c r="A51" s="18"/>
      <x:c r="B51" s="42"/>
      <x:c r="C51" s="18"/>
      <x:c r="D51" s="18"/>
      <x:c r="E51" s="18"/>
      <x:c r="F51" s="18"/>
      <x:c r="G51" s="18"/>
      <x:c r="H51" s="18"/>
      <x:c r="I51" s="18"/>
      <x:c r="J51" s="18"/>
      <x:c r="K51" s="18"/>
      <x:c r="L51" s="18"/>
    </x:row>
    <x:row r="52" ht="50" customHeight="1">
      <x:c r="A52" s="18"/>
      <x:c r="B52" s="42"/>
      <x:c r="C52" s="18"/>
      <x:c r="D52" s="18"/>
      <x:c r="E52" s="18"/>
      <x:c r="F52" s="18"/>
      <x:c r="G52" s="18"/>
      <x:c r="H52" s="18"/>
      <x:c r="I52" s="18"/>
      <x:c r="J52" s="18"/>
      <x:c r="K52" s="18"/>
      <x:c r="L52" s="18"/>
    </x:row>
    <x:row r="53" ht="50" customHeight="1">
      <x:c r="A53" s="18"/>
      <x:c r="B53" s="42"/>
      <x:c r="C53" s="18"/>
      <x:c r="D53" s="18"/>
      <x:c r="E53" s="18"/>
      <x:c r="F53" s="18"/>
      <x:c r="G53" s="18"/>
      <x:c r="H53" s="18"/>
      <x:c r="I53" s="18"/>
      <x:c r="J53" s="18"/>
      <x:c r="K53" s="18"/>
      <x:c r="L53" s="18"/>
    </x:row>
    <x:row r="54" ht="50" customHeight="1">
      <x:c r="A54" s="18"/>
      <x:c r="B54" s="42"/>
      <x:c r="C54" s="18"/>
      <x:c r="D54" s="18"/>
      <x:c r="E54" s="18"/>
      <x:c r="F54" s="18"/>
      <x:c r="G54" s="18"/>
      <x:c r="H54" s="18"/>
      <x:c r="I54" s="18"/>
      <x:c r="J54" s="18"/>
      <x:c r="K54" s="18"/>
      <x:c r="L54" s="18"/>
    </x:row>
    <x:row r="55" ht="50" customHeight="1">
      <x:c r="A55" s="18"/>
      <x:c r="B55" s="42"/>
      <x:c r="C55" s="18"/>
      <x:c r="D55" s="18"/>
      <x:c r="E55" s="18"/>
      <x:c r="F55" s="18"/>
      <x:c r="G55" s="18"/>
      <x:c r="H55" s="18"/>
      <x:c r="I55" s="18"/>
      <x:c r="J55" s="18"/>
      <x:c r="K55" s="18"/>
      <x:c r="L55" s="18"/>
    </x:row>
    <x:row r="56" ht="50" customHeight="1">
      <x:c r="A56" s="18"/>
      <x:c r="B56" s="42"/>
      <x:c r="C56" s="18"/>
      <x:c r="D56" s="18"/>
      <x:c r="E56" s="18"/>
      <x:c r="F56" s="18"/>
      <x:c r="G56" s="18"/>
      <x:c r="H56" s="18"/>
      <x:c r="I56" s="18"/>
      <x:c r="J56" s="18"/>
      <x:c r="K56" s="18"/>
      <x:c r="L56" s="18"/>
    </x:row>
    <x:row r="57" ht="50" customHeight="1">
      <x:c r="A57" s="18"/>
      <x:c r="B57" s="42"/>
      <x:c r="C57" s="18"/>
      <x:c r="D57" s="18"/>
      <x:c r="E57" s="18"/>
      <x:c r="F57" s="18"/>
      <x:c r="G57" s="18"/>
      <x:c r="H57" s="18"/>
      <x:c r="I57" s="18"/>
      <x:c r="J57" s="18"/>
      <x:c r="K57" s="18"/>
      <x:c r="L57" s="18"/>
    </x:row>
    <x:row r="58" ht="50" customHeight="1">
      <x:c r="A58" s="18"/>
      <x:c r="B58" s="42"/>
      <x:c r="C58" s="18"/>
      <x:c r="D58" s="18"/>
      <x:c r="E58" s="18"/>
      <x:c r="F58" s="18"/>
      <x:c r="G58" s="18"/>
      <x:c r="H58" s="18"/>
      <x:c r="I58" s="18"/>
      <x:c r="J58" s="18"/>
      <x:c r="K58" s="18"/>
      <x:c r="L58" s="18"/>
    </x:row>
    <x:row r="59" ht="50" customHeight="1">
      <x:c r="A59" s="18"/>
      <x:c r="B59" s="42"/>
      <x:c r="C59" s="18"/>
      <x:c r="D59" s="18"/>
      <x:c r="E59" s="18"/>
      <x:c r="F59" s="18"/>
      <x:c r="G59" s="18"/>
      <x:c r="H59" s="18"/>
      <x:c r="I59" s="18"/>
      <x:c r="J59" s="18"/>
      <x:c r="K59" s="18"/>
      <x:c r="L59" s="18"/>
    </x:row>
    <x:row r="60" ht="50" customHeight="1">
      <x:c r="A60" s="18"/>
      <x:c r="B60" s="42"/>
      <x:c r="C60" s="18"/>
      <x:c r="D60" s="18"/>
      <x:c r="E60" s="18"/>
      <x:c r="F60" s="18"/>
      <x:c r="G60" s="18"/>
      <x:c r="H60" s="18"/>
      <x:c r="I60" s="18"/>
      <x:c r="J60" s="18"/>
      <x:c r="K60" s="18"/>
      <x:c r="L60" s="18"/>
    </x:row>
    <x:row r="61" ht="50" customHeight="1">
      <x:c r="A61" s="18"/>
      <x:c r="B61" s="42"/>
      <x:c r="C61" s="18"/>
      <x:c r="D61" s="18"/>
      <x:c r="E61" s="18"/>
      <x:c r="F61" s="18"/>
      <x:c r="G61" s="18"/>
      <x:c r="H61" s="18"/>
      <x:c r="I61" s="18"/>
      <x:c r="J61" s="18"/>
      <x:c r="K61" s="18"/>
      <x:c r="L61" s="18"/>
    </x:row>
    <x:row r="62" ht="50" customHeight="1">
      <x:c r="A62" s="18"/>
      <x:c r="B62" s="42"/>
      <x:c r="C62" s="18"/>
      <x:c r="D62" s="18"/>
      <x:c r="E62" s="18"/>
      <x:c r="F62" s="18"/>
      <x:c r="G62" s="18"/>
      <x:c r="H62" s="18"/>
      <x:c r="I62" s="18"/>
      <x:c r="J62" s="18"/>
      <x:c r="K62" s="18"/>
      <x:c r="L62" s="18"/>
    </x:row>
    <x:row r="63" ht="50" customHeight="1">
      <x:c r="A63" s="18"/>
      <x:c r="B63" s="42"/>
      <x:c r="C63" s="18"/>
      <x:c r="D63" s="18"/>
      <x:c r="E63" s="18"/>
      <x:c r="F63" s="18"/>
      <x:c r="G63" s="18"/>
      <x:c r="H63" s="18"/>
      <x:c r="I63" s="18"/>
      <x:c r="J63" s="18"/>
      <x:c r="K63" s="18"/>
      <x:c r="L63" s="18"/>
    </x:row>
    <x:row r="64" ht="50" customHeight="1">
      <x:c r="A64" s="18"/>
      <x:c r="B64" s="42"/>
      <x:c r="C64" s="18"/>
      <x:c r="D64" s="18"/>
      <x:c r="E64" s="18"/>
      <x:c r="F64" s="18"/>
      <x:c r="G64" s="18"/>
      <x:c r="H64" s="18"/>
      <x:c r="I64" s="18"/>
      <x:c r="J64" s="18"/>
      <x:c r="K64" s="18"/>
      <x:c r="L64" s="18"/>
    </x:row>
    <x:row r="65" ht="50" customHeight="1">
      <x:c r="A65" s="18"/>
      <x:c r="B65" s="42"/>
      <x:c r="C65" s="18"/>
      <x:c r="D65" s="18"/>
      <x:c r="E65" s="18"/>
      <x:c r="F65" s="18"/>
      <x:c r="G65" s="18"/>
      <x:c r="H65" s="18"/>
      <x:c r="I65" s="18"/>
      <x:c r="J65" s="18"/>
      <x:c r="K65" s="18"/>
      <x:c r="L65" s="18"/>
    </x:row>
    <x:row r="66" ht="50" customHeight="1">
      <x:c r="A66" s="18"/>
      <x:c r="B66" s="42"/>
      <x:c r="C66" s="18"/>
      <x:c r="D66" s="18"/>
      <x:c r="E66" s="18"/>
      <x:c r="F66" s="18"/>
      <x:c r="G66" s="18"/>
      <x:c r="H66" s="18"/>
      <x:c r="I66" s="18"/>
      <x:c r="J66" s="18"/>
      <x:c r="K66" s="18"/>
      <x:c r="L66" s="18"/>
    </x:row>
    <x:row r="67" ht="50" customHeight="1">
      <x:c r="A67" s="18"/>
      <x:c r="B67" s="42"/>
      <x:c r="C67" s="18"/>
      <x:c r="D67" s="18"/>
      <x:c r="E67" s="18"/>
      <x:c r="F67" s="18"/>
      <x:c r="G67" s="18"/>
      <x:c r="H67" s="18"/>
      <x:c r="I67" s="18"/>
      <x:c r="J67" s="18"/>
      <x:c r="K67" s="18"/>
      <x:c r="L67" s="18"/>
    </x:row>
    <x:row r="68" ht="50" customHeight="1">
      <x:c r="A68" s="18"/>
      <x:c r="B68" s="42"/>
      <x:c r="C68" s="18"/>
      <x:c r="D68" s="18"/>
      <x:c r="E68" s="18"/>
      <x:c r="F68" s="18"/>
      <x:c r="G68" s="18"/>
      <x:c r="H68" s="18"/>
      <x:c r="I68" s="18"/>
      <x:c r="J68" s="18"/>
      <x:c r="K68" s="18"/>
      <x:c r="L68" s="18"/>
    </x:row>
    <x:row r="69" ht="50" customHeight="1">
      <x:c r="A69" s="18"/>
      <x:c r="B69" s="42"/>
      <x:c r="C69" s="18"/>
      <x:c r="D69" s="18"/>
      <x:c r="E69" s="18"/>
      <x:c r="F69" s="18"/>
      <x:c r="G69" s="18"/>
      <x:c r="H69" s="18"/>
      <x:c r="I69" s="18"/>
      <x:c r="J69" s="18"/>
      <x:c r="K69" s="18"/>
      <x:c r="L69" s="18"/>
    </x:row>
    <x:row r="70" ht="50" customHeight="1">
      <x:c r="A70" s="18"/>
      <x:c r="B70" s="42"/>
      <x:c r="C70" s="18"/>
      <x:c r="D70" s="18"/>
      <x:c r="E70" s="18"/>
      <x:c r="F70" s="18"/>
      <x:c r="G70" s="18"/>
      <x:c r="H70" s="18"/>
      <x:c r="I70" s="18"/>
      <x:c r="J70" s="18"/>
      <x:c r="K70" s="18"/>
      <x:c r="L70" s="18"/>
    </x:row>
    <x:row r="71" ht="50" customHeight="1">
      <x:c r="A71" s="18"/>
      <x:c r="B71" s="42"/>
      <x:c r="C71" s="18"/>
      <x:c r="D71" s="18"/>
      <x:c r="E71" s="18"/>
      <x:c r="F71" s="18"/>
      <x:c r="G71" s="18"/>
      <x:c r="H71" s="18"/>
      <x:c r="I71" s="18"/>
      <x:c r="J71" s="18"/>
      <x:c r="K71" s="18"/>
      <x:c r="L71" s="18"/>
    </x:row>
    <x:row r="72" ht="50" customHeight="1">
      <x:c r="A72" s="18"/>
      <x:c r="B72" s="42"/>
      <x:c r="C72" s="18"/>
      <x:c r="D72" s="18"/>
      <x:c r="E72" s="18"/>
      <x:c r="F72" s="18"/>
      <x:c r="G72" s="18"/>
      <x:c r="H72" s="18"/>
      <x:c r="I72" s="18"/>
      <x:c r="J72" s="18"/>
      <x:c r="K72" s="18"/>
      <x:c r="L72" s="18"/>
    </x:row>
    <x:row r="73" ht="50" customHeight="1">
      <x:c r="A73" s="18"/>
      <x:c r="B73" s="42"/>
      <x:c r="C73" s="18"/>
      <x:c r="D73" s="18"/>
      <x:c r="E73" s="18"/>
      <x:c r="F73" s="18"/>
      <x:c r="G73" s="18"/>
      <x:c r="H73" s="18"/>
      <x:c r="I73" s="18"/>
      <x:c r="J73" s="18"/>
      <x:c r="K73" s="18"/>
      <x:c r="L73" s="18"/>
    </x:row>
    <x:row r="74" ht="50" customHeight="1">
      <x:c r="A74" s="18"/>
      <x:c r="B74" s="42"/>
      <x:c r="C74" s="18"/>
      <x:c r="D74" s="18"/>
      <x:c r="E74" s="18"/>
      <x:c r="F74" s="18"/>
      <x:c r="G74" s="18"/>
      <x:c r="H74" s="18"/>
      <x:c r="I74" s="18"/>
      <x:c r="J74" s="18"/>
      <x:c r="K74" s="18"/>
      <x:c r="L74" s="18"/>
    </x:row>
    <x:row r="75" ht="50" customHeight="1">
      <x:c r="A75" s="18"/>
      <x:c r="B75" s="42"/>
      <x:c r="C75" s="18"/>
      <x:c r="D75" s="18"/>
      <x:c r="E75" s="18"/>
      <x:c r="F75" s="18"/>
      <x:c r="G75" s="18"/>
      <x:c r="H75" s="18"/>
      <x:c r="I75" s="18"/>
      <x:c r="J75" s="18"/>
      <x:c r="K75" s="18"/>
      <x:c r="L75" s="18"/>
    </x:row>
    <x:row r="76" ht="50" customHeight="1">
      <x:c r="A76" s="18"/>
      <x:c r="B76" s="42"/>
      <x:c r="C76" s="18"/>
      <x:c r="D76" s="18"/>
      <x:c r="E76" s="18"/>
      <x:c r="F76" s="18"/>
      <x:c r="G76" s="18"/>
      <x:c r="H76" s="18"/>
      <x:c r="I76" s="18"/>
      <x:c r="J76" s="18"/>
      <x:c r="K76" s="18"/>
      <x:c r="L76" s="18"/>
    </x:row>
    <x:row r="77" ht="50" customHeight="1">
      <x:c r="A77" s="18"/>
      <x:c r="B77" s="42"/>
      <x:c r="C77" s="18"/>
      <x:c r="D77" s="18"/>
      <x:c r="E77" s="18"/>
      <x:c r="F77" s="18"/>
      <x:c r="G77" s="18"/>
      <x:c r="H77" s="18"/>
      <x:c r="I77" s="18"/>
      <x:c r="J77" s="18"/>
      <x:c r="K77" s="18"/>
      <x:c r="L77" s="18"/>
    </x:row>
    <x:row r="78" ht="50" customHeight="1">
      <x:c r="A78" s="18"/>
      <x:c r="B78" s="42"/>
      <x:c r="C78" s="18"/>
      <x:c r="D78" s="18"/>
      <x:c r="E78" s="18"/>
      <x:c r="F78" s="18"/>
      <x:c r="G78" s="18"/>
      <x:c r="H78" s="18"/>
      <x:c r="I78" s="18"/>
      <x:c r="J78" s="18"/>
      <x:c r="K78" s="18"/>
      <x:c r="L78" s="18"/>
    </x:row>
    <x:row r="79" ht="50" customHeight="1">
      <x:c r="A79" s="18"/>
      <x:c r="B79" s="42"/>
      <x:c r="C79" s="18"/>
      <x:c r="D79" s="18"/>
      <x:c r="E79" s="18"/>
      <x:c r="F79" s="18"/>
      <x:c r="G79" s="18"/>
      <x:c r="H79" s="18"/>
      <x:c r="I79" s="18"/>
      <x:c r="J79" s="18"/>
      <x:c r="K79" s="18"/>
      <x:c r="L79" s="18"/>
    </x:row>
    <x:row r="80" ht="50" customHeight="1">
      <x:c r="A80" s="18"/>
      <x:c r="B80" s="42"/>
      <x:c r="C80" s="18"/>
      <x:c r="D80" s="18"/>
      <x:c r="E80" s="18"/>
      <x:c r="F80" s="18"/>
      <x:c r="G80" s="18"/>
      <x:c r="H80" s="18"/>
      <x:c r="I80" s="18"/>
      <x:c r="J80" s="18"/>
      <x:c r="K80" s="18"/>
      <x:c r="L80" s="18"/>
    </x:row>
    <x:row r="81" ht="50" customHeight="1">
      <x:c r="A81" s="18"/>
      <x:c r="B81" s="42"/>
      <x:c r="C81" s="18"/>
      <x:c r="D81" s="18"/>
      <x:c r="E81" s="18"/>
      <x:c r="F81" s="18"/>
      <x:c r="G81" s="18"/>
      <x:c r="H81" s="18"/>
      <x:c r="I81" s="18"/>
      <x:c r="J81" s="18"/>
      <x:c r="K81" s="18"/>
      <x:c r="L81" s="18"/>
    </x:row>
    <x:row r="82" ht="50" customHeight="1">
      <x:c r="A82" s="18"/>
      <x:c r="B82" s="42"/>
      <x:c r="C82" s="18"/>
      <x:c r="D82" s="18"/>
      <x:c r="E82" s="18"/>
      <x:c r="F82" s="18"/>
      <x:c r="G82" s="18"/>
      <x:c r="H82" s="18"/>
      <x:c r="I82" s="18"/>
      <x:c r="J82" s="18"/>
      <x:c r="K82" s="18"/>
      <x:c r="L82" s="18"/>
    </x:row>
    <x:row r="83" ht="50" customHeight="1">
      <x:c r="A83" s="18"/>
      <x:c r="B83" s="42"/>
      <x:c r="C83" s="18"/>
      <x:c r="D83" s="18"/>
      <x:c r="E83" s="18"/>
      <x:c r="F83" s="18"/>
      <x:c r="G83" s="18"/>
      <x:c r="H83" s="18"/>
      <x:c r="I83" s="18"/>
      <x:c r="J83" s="18"/>
      <x:c r="K83" s="18"/>
      <x:c r="L83" s="18"/>
    </x:row>
    <x:row r="84" ht="50" customHeight="1">
      <x:c r="A84" s="18"/>
      <x:c r="B84" s="42"/>
      <x:c r="C84" s="18"/>
      <x:c r="D84" s="18"/>
      <x:c r="E84" s="18"/>
      <x:c r="F84" s="18"/>
      <x:c r="G84" s="18"/>
      <x:c r="H84" s="18"/>
      <x:c r="I84" s="18"/>
      <x:c r="J84" s="18"/>
      <x:c r="K84" s="18"/>
      <x:c r="L84" s="18"/>
    </x:row>
    <x:row r="85" ht="50" customHeight="1">
      <x:c r="A85" s="18"/>
      <x:c r="B85" s="42"/>
      <x:c r="C85" s="18"/>
      <x:c r="D85" s="18"/>
      <x:c r="E85" s="18"/>
      <x:c r="F85" s="18"/>
      <x:c r="G85" s="18"/>
      <x:c r="H85" s="18"/>
      <x:c r="I85" s="18"/>
      <x:c r="J85" s="18"/>
      <x:c r="K85" s="18"/>
      <x:c r="L85" s="18"/>
    </x:row>
    <x:row r="86" ht="50" customHeight="1">
      <x:c r="A86" s="18"/>
      <x:c r="B86" s="42"/>
      <x:c r="C86" s="18"/>
      <x:c r="D86" s="18"/>
      <x:c r="E86" s="18"/>
      <x:c r="F86" s="18"/>
      <x:c r="G86" s="18"/>
      <x:c r="H86" s="18"/>
      <x:c r="I86" s="18"/>
      <x:c r="J86" s="18"/>
      <x:c r="K86" s="18"/>
      <x:c r="L86" s="18"/>
    </x:row>
    <x:row r="87" ht="50" customHeight="1">
      <x:c r="A87" s="18"/>
      <x:c r="B87" s="42"/>
      <x:c r="C87" s="18"/>
      <x:c r="D87" s="18"/>
      <x:c r="E87" s="18"/>
      <x:c r="F87" s="18"/>
      <x:c r="G87" s="18"/>
      <x:c r="H87" s="18"/>
      <x:c r="I87" s="18"/>
      <x:c r="J87" s="18"/>
      <x:c r="K87" s="18"/>
      <x:c r="L87" s="18"/>
    </x:row>
    <x:row r="88" ht="50" customHeight="1">
      <x:c r="A88" s="18"/>
      <x:c r="B88" s="42"/>
      <x:c r="C88" s="18"/>
      <x:c r="D88" s="18"/>
      <x:c r="E88" s="18"/>
      <x:c r="F88" s="18"/>
      <x:c r="G88" s="18"/>
      <x:c r="H88" s="18"/>
      <x:c r="I88" s="18"/>
      <x:c r="J88" s="18"/>
      <x:c r="K88" s="18"/>
      <x:c r="L88" s="18"/>
    </x:row>
    <x:row r="89" ht="50" customHeight="1">
      <x:c r="A89" s="18"/>
      <x:c r="B89" s="42"/>
      <x:c r="C89" s="18"/>
      <x:c r="D89" s="18"/>
      <x:c r="E89" s="18"/>
      <x:c r="F89" s="18"/>
      <x:c r="G89" s="18"/>
      <x:c r="H89" s="18"/>
      <x:c r="I89" s="18"/>
      <x:c r="J89" s="18"/>
      <x:c r="K89" s="18"/>
      <x:c r="L89" s="18"/>
    </x:row>
    <x:row r="90" ht="50" customHeight="1">
      <x:c r="A90" s="18"/>
      <x:c r="B90" s="42"/>
      <x:c r="C90" s="18"/>
      <x:c r="D90" s="18"/>
      <x:c r="E90" s="18"/>
      <x:c r="F90" s="18"/>
      <x:c r="G90" s="18"/>
      <x:c r="H90" s="18"/>
      <x:c r="I90" s="18"/>
      <x:c r="J90" s="18"/>
      <x:c r="K90" s="18"/>
      <x:c r="L90" s="18"/>
    </x:row>
    <x:row r="91" ht="50" customHeight="1">
      <x:c r="A91" s="18"/>
      <x:c r="B91" s="42"/>
      <x:c r="C91" s="18"/>
      <x:c r="D91" s="18"/>
      <x:c r="E91" s="18"/>
      <x:c r="F91" s="18"/>
      <x:c r="G91" s="18"/>
      <x:c r="H91" s="18"/>
      <x:c r="I91" s="18"/>
      <x:c r="J91" s="18"/>
      <x:c r="K91" s="18"/>
      <x:c r="L91" s="18"/>
    </x:row>
    <x:row r="92" ht="50" customHeight="1">
      <x:c r="A92" s="18"/>
      <x:c r="B92" s="42"/>
      <x:c r="C92" s="18"/>
      <x:c r="D92" s="18"/>
      <x:c r="E92" s="18"/>
      <x:c r="F92" s="18"/>
      <x:c r="G92" s="18"/>
      <x:c r="H92" s="18"/>
      <x:c r="I92" s="18"/>
      <x:c r="J92" s="18"/>
      <x:c r="K92" s="18"/>
      <x:c r="L92" s="18"/>
    </x:row>
    <x:row r="93" ht="50" customHeight="1">
      <x:c r="A93" s="18"/>
      <x:c r="B93" s="42"/>
      <x:c r="C93" s="18"/>
      <x:c r="D93" s="18"/>
      <x:c r="E93" s="18"/>
      <x:c r="F93" s="18"/>
      <x:c r="G93" s="18"/>
      <x:c r="H93" s="18"/>
      <x:c r="I93" s="18"/>
      <x:c r="J93" s="18"/>
      <x:c r="K93" s="18"/>
      <x:c r="L93" s="18"/>
    </x:row>
    <x:row r="94" ht="50" customHeight="1">
      <x:c r="A94" s="18"/>
      <x:c r="B94" s="42"/>
      <x:c r="C94" s="18"/>
      <x:c r="D94" s="18"/>
      <x:c r="E94" s="18"/>
      <x:c r="F94" s="18"/>
      <x:c r="G94" s="18"/>
      <x:c r="H94" s="18"/>
      <x:c r="I94" s="18"/>
      <x:c r="J94" s="18"/>
      <x:c r="K94" s="18"/>
      <x:c r="L94" s="18"/>
    </x:row>
    <x:row r="95" ht="50" customHeight="1">
      <x:c r="A95" s="18"/>
      <x:c r="B95" s="42"/>
      <x:c r="C95" s="18"/>
      <x:c r="D95" s="18"/>
      <x:c r="E95" s="18"/>
      <x:c r="F95" s="18"/>
      <x:c r="G95" s="18"/>
      <x:c r="H95" s="18"/>
      <x:c r="I95" s="18"/>
      <x:c r="J95" s="18"/>
      <x:c r="K95" s="18"/>
      <x:c r="L95" s="18"/>
    </x:row>
    <x:row r="96" ht="50" customHeight="1">
      <x:c r="A96" s="18"/>
      <x:c r="B96" s="42"/>
      <x:c r="C96" s="18"/>
      <x:c r="D96" s="18"/>
      <x:c r="E96" s="18"/>
      <x:c r="F96" s="18"/>
      <x:c r="G96" s="18"/>
      <x:c r="H96" s="18"/>
      <x:c r="I96" s="18"/>
      <x:c r="J96" s="18"/>
      <x:c r="K96" s="18"/>
      <x:c r="L96" s="18"/>
    </x:row>
    <x:row r="97" ht="50" customHeight="1">
      <x:c r="A97" s="18"/>
      <x:c r="B97" s="42"/>
      <x:c r="C97" s="18"/>
      <x:c r="D97" s="18"/>
      <x:c r="E97" s="18"/>
      <x:c r="F97" s="18"/>
      <x:c r="G97" s="18"/>
      <x:c r="H97" s="18"/>
      <x:c r="I97" s="18"/>
      <x:c r="J97" s="18"/>
      <x:c r="K97" s="18"/>
      <x:c r="L97" s="18"/>
    </x:row>
    <x:row r="98" ht="50" customHeight="1">
      <x:c r="A98" s="18"/>
      <x:c r="B98" s="42"/>
      <x:c r="C98" s="18"/>
      <x:c r="D98" s="18"/>
      <x:c r="E98" s="18"/>
      <x:c r="F98" s="18"/>
      <x:c r="G98" s="18"/>
      <x:c r="H98" s="18"/>
      <x:c r="I98" s="18"/>
      <x:c r="J98" s="18"/>
      <x:c r="K98" s="18"/>
      <x:c r="L98" s="18"/>
    </x:row>
    <x:row r="99" ht="50" customHeight="1">
      <x:c r="A99" s="18"/>
      <x:c r="B99" s="42"/>
      <x:c r="C99" s="18"/>
      <x:c r="D99" s="18"/>
      <x:c r="E99" s="18"/>
      <x:c r="F99" s="18"/>
      <x:c r="G99" s="18"/>
      <x:c r="H99" s="18"/>
      <x:c r="I99" s="18"/>
      <x:c r="J99" s="18"/>
      <x:c r="K99" s="18"/>
      <x:c r="L99" s="18"/>
    </x:row>
    <x:row r="100" ht="50" customHeight="1">
      <x:c r="A100" s="18"/>
      <x:c r="B100" s="42"/>
      <x:c r="C100" s="18"/>
      <x:c r="D100" s="18"/>
      <x:c r="E100" s="18"/>
      <x:c r="F100" s="18"/>
      <x:c r="G100" s="18"/>
      <x:c r="H100" s="18"/>
      <x:c r="I100" s="18"/>
      <x:c r="J100" s="18"/>
      <x:c r="K100" s="18"/>
      <x:c r="L100" s="18"/>
    </x:row>
    <x:row r="101" ht="50" customHeight="1">
      <x:c r="A101" s="18"/>
      <x:c r="B101" s="42"/>
      <x:c r="C101" s="18"/>
      <x:c r="D101" s="18"/>
      <x:c r="E101" s="18"/>
      <x:c r="F101" s="18"/>
      <x:c r="G101" s="18"/>
      <x:c r="H101" s="18"/>
      <x:c r="I101" s="18"/>
      <x:c r="J101" s="18"/>
      <x:c r="K101" s="18"/>
      <x:c r="L101" s="18"/>
    </x:row>
    <x:row r="102" ht="50" customHeight="1">
      <x:c r="A102" s="18"/>
      <x:c r="B102" s="42"/>
      <x:c r="C102" s="18"/>
      <x:c r="D102" s="18"/>
      <x:c r="E102" s="18"/>
      <x:c r="F102" s="18"/>
      <x:c r="G102" s="18"/>
      <x:c r="H102" s="18"/>
      <x:c r="I102" s="18"/>
      <x:c r="J102" s="18"/>
      <x:c r="K102" s="18"/>
      <x:c r="L102" s="18"/>
    </x:row>
    <x:row r="103" ht="50" customHeight="1">
      <x:c r="A103" s="18"/>
      <x:c r="B103" s="42"/>
      <x:c r="C103" s="18"/>
      <x:c r="D103" s="18"/>
      <x:c r="E103" s="18"/>
      <x:c r="F103" s="18"/>
      <x:c r="G103" s="18"/>
      <x:c r="H103" s="18"/>
      <x:c r="I103" s="18"/>
      <x:c r="J103" s="18"/>
      <x:c r="K103" s="18"/>
      <x:c r="L103" s="18"/>
    </x:row>
    <x:row r="104" ht="50" customHeight="1">
      <x:c r="A104" s="18"/>
      <x:c r="B104" s="42"/>
      <x:c r="C104" s="18"/>
      <x:c r="D104" s="18"/>
      <x:c r="E104" s="18"/>
      <x:c r="F104" s="18"/>
      <x:c r="G104" s="18"/>
      <x:c r="H104" s="18"/>
      <x:c r="I104" s="18"/>
      <x:c r="J104" s="18"/>
      <x:c r="K104" s="18"/>
      <x:c r="L104" s="18"/>
    </x:row>
  </x:sheetData>
  <x:mergeCells>
    <x:mergeCell ref="A1:L1"/>
  </x:mergeCells>
  <x:dataValidations count="2">
    <x:dataValidation type="list" sqref="I5:I104">
      <x:formula1>"Critical,Major,Minor,Trivial"</x:formula1>
    </x:dataValidation>
    <x:dataValidation type="list" sqref="J5:J104">
      <x:formula1>"New,In Progress,Ready QA,Reopened,Closed,Deferred"</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33" hidden="0" customWidth="1"/>
    <x:col min="3" max="3" width="100" hidden="0" customWidth="1"/>
    <x:col min="4" max="4" width="98" hidden="0" customWidth="1"/>
    <x:col min="5" max="5" width="51" hidden="0" customWidth="1"/>
    <x:col min="6" max="6" width="22" hidden="0" customWidth="1"/>
  </x:cols>
  <x:sheetData>
    <x:row r="1" ht="36" customHeight="1">
      <x:c r="A1" s="6" t="str">
        <x:v>CÂU HỎI / GIẢ ĐỊNH CẦN PRODUCT OWNER XÁC NHẬN</x:v>
      </x:c>
      <x:c r="B1" s="6"/>
      <x:c r="C1" s="6"/>
      <x:c r="D1" s="6"/>
      <x:c r="E1" s="6"/>
      <x:c r="F1" s="6"/>
    </x:row>
    <x:row r="2" ht="28" customHeight="1">
      <x:c r="A2" s="23" t="str">
        <x:v>Các kịch bản có nguồn 'Đề xuất QA' hoặc 'Bổ sung QA' không mặc nhiên là tiêu chí nghiệm thu đã duyệt.</x:v>
      </x:c>
      <x:c r="B2" s="23"/>
      <x:c r="C2" s="23"/>
      <x:c r="D2" s="23"/>
      <x:c r="E2" s="23"/>
      <x:c r="F2" s="23"/>
    </x:row>
    <x:row r="4" ht="34" customHeight="1">
      <x:c r="A4" s="13" t="str">
        <x:v>ID</x:v>
      </x:c>
      <x:c r="B4" s="13" t="str">
        <x:v>Hạng mục</x:v>
      </x:c>
      <x:c r="C4" s="13" t="str">
        <x:v>Phát hiện từ backlog / kế hoạch</x:v>
      </x:c>
      <x:c r="D4" s="13" t="str">
        <x:v>Câu hỏi cần chốt</x:v>
      </x:c>
      <x:c r="E4" s="13" t="str">
        <x:v>TC/Story ảnh hưởng</x:v>
      </x:c>
      <x:c r="F4" s="13" t="str">
        <x:v>Trạng thái PO</x:v>
      </x:c>
    </x:row>
    <x:row r="5" ht="72" customHeight="1">
      <x:c r="A5" s="18" t="str">
        <x:v>PO-01</x:v>
      </x:c>
      <x:c r="B5" s="18" t="str">
        <x:v>Stack công nghệ</x:v>
      </x:c>
      <x:c r="C5" s="18" t="str">
        <x:v>Product Overview ghi React + Spring Boot hoặc NestJS; kế hoạch triển khai nhóm có FastAPI + Next.js + PostgreSQL + Docker.</x:v>
      </x:c>
      <x:c r="D5" s="18" t="str">
        <x:v>Xác nhận stack cuối cùng; các case API/DevOps bám bản deploy thực tế.</x:v>
      </x:c>
      <x:c r="E5" s="18" t="str">
        <x:v>NFR-26; toàn bộ API test</x:v>
      </x:c>
      <x:c r="F5" s="18" t="str">
        <x:v>Chưa xác nhận</x:v>
      </x:c>
    </x:row>
    <x:row r="6" ht="72" customHeight="1">
      <x:c r="A6" s="18" t="str">
        <x:v>PO-02</x:v>
      </x:c>
      <x:c r="B6" s="18" t="str">
        <x:v>CV parsing</x:v>
      </x:c>
      <x:c r="C6" s="18" t="str">
        <x:v>Product Overview liệt kê AI bóc tách CV ngoài phạm vi, nhưng S4-04 Should yêu cầu parser PDF.</x:v>
      </x:c>
      <x:c r="D6" s="18" t="str">
        <x:v>Triển khai PDF text parsing ở mức gợi ý hay bỏ/hoãn S4-04? Không mặc định AI.</x:v>
      </x:c>
      <x:c r="E6" s="18" t="str">
        <x:v>S4-04</x:v>
      </x:c>
      <x:c r="F6" s="18" t="str">
        <x:v>Chưa xác nhận</x:v>
      </x:c>
    </x:row>
    <x:row r="7" ht="72" customHeight="1">
      <x:c r="A7" s="18" t="str">
        <x:v>PO-03</x:v>
      </x:c>
      <x:c r="B7" s="18" t="str">
        <x:v>Quyền Admin</x:v>
      </x:c>
      <x:c r="C7" s="18" t="str">
        <x:v>Ma trận quyền liệt kê Candidate → HR Manager nhưng không có cột Admin mặc dù có vai trò Admin.</x:v>
      </x:c>
      <x:c r="D7" s="18" t="str">
        <x:v>Admin đọc được CV nội dung hay chỉ quản trị tài khoản/audit?</x:v>
      </x:c>
      <x:c r="E7" s="18" t="str">
        <x:v>S1-05, S4-09, NFR-15</x:v>
      </x:c>
      <x:c r="F7" s="18" t="str">
        <x:v>Chưa xác nhận</x:v>
      </x:c>
    </x:row>
    <x:row r="8" ht="72" customHeight="1">
      <x:c r="A8" s="18" t="str">
        <x:v>PO-04</x:v>
      </x:c>
      <x:c r="B8" s="18" t="str">
        <x:v>Quyền dữ liệu Recruiter/Approver</x:v>
      </x:c>
      <x:c r="C8" s="18" t="str">
        <x:v>Ma trận ghi Recruiter F ở hồ sơ ứng viên, Approver R; NFR giới hạn recruiter phụ trách và HM sở hữu.</x:v>
      </x:c>
      <x:c r="D8" s="18" t="str">
        <x:v>Khoanh quyền đọc/lọc/xuất của recruiter hỗ trợ, approver, HR và Admin đến mức nào?</x:v>
      </x:c>
      <x:c r="E8" s="18" t="str">
        <x:v>S3-06,S4-09,S5-02,S6-01</x:v>
      </x:c>
      <x:c r="F8" s="18" t="str">
        <x:v>Chưa xác nhận</x:v>
      </x:c>
    </x:row>
    <x:row r="9" ht="72" customHeight="1">
      <x:c r="A9" s="18" t="str">
        <x:v>PO-05</x:v>
      </x:c>
      <x:c r="B9" s="18" t="str">
        <x:v>Luồng duyệt</x:v>
      </x:c>
      <x:c r="C9" s="18" t="str">
        <x:v>Tối đa ba cấp đang là giả định, yêu cầu S3-01 cho cấu hình động.</x:v>
      </x:c>
      <x:c r="D9" s="18" t="str">
        <x:v>Cho phép duyệt song song, ủy quyền, hủy bước đang chờ hay chỉ tuần tự &lt;= 3 cấp?</x:v>
      </x:c>
      <x:c r="E9" s="18" t="str">
        <x:v>S3-01,S3-02</x:v>
      </x:c>
      <x:c r="F9" s="18" t="str">
        <x:v>Chưa xác nhận</x:v>
      </x:c>
    </x:row>
    <x:row r="10" ht="72" customHeight="1">
      <x:c r="A10" s="18" t="str">
        <x:v>PO-06</x:v>
      </x:c>
      <x:c r="B10" s="18" t="str">
        <x:v>Định nghĩa lương / hạn mức</x:v>
      </x:c>
      <x:c r="C10" s="18" t="str">
        <x:v>S7-05 dùng dải lương chức danh; ngân sách headcount theo năm ở S3-04.</x:v>
      </x:c>
      <x:c r="D10" s="18" t="str">
        <x:v>Offer trong dải lương nhưng vượt ngân sách phòng ban xử lý thế nào?</x:v>
      </x:c>
      <x:c r="E10" s="18" t="str">
        <x:v>S3-04,S7-05</x:v>
      </x:c>
      <x:c r="F10" s="18" t="str">
        <x:v>Chưa xác nhận</x:v>
      </x:c>
    </x:row>
    <x:row r="11" ht="72" customHeight="1">
      <x:c r="A11" s="18" t="str">
        <x:v>PO-07</x:v>
      </x:c>
      <x:c r="B11" s="18" t="str">
        <x:v>Ngày hết hạn &amp; múi giờ</x:v>
      </x:c>
      <x:c r="C11" s="18" t="str">
        <x:v>Ngày tin, offer và đường dẫn chưa định nghĩa tính hết hạn đầu/cuối ngày.</x:v>
      </x:c>
      <x:c r="D11" s="18" t="str">
        <x:v>Hết hạn 23:59:59 Asia/Ho_Chi_Minh? Cho phép gia hạn và ghi audit?</x:v>
      </x:c>
      <x:c r="E11" s="18" t="str">
        <x:v>S4-02,S4-03,S7-06</x:v>
      </x:c>
      <x:c r="F11" s="18" t="str">
        <x:v>Chưa xác nhận</x:v>
      </x:c>
    </x:row>
    <x:row r="12" ht="72" customHeight="1">
      <x:c r="A12" s="18" t="str">
        <x:v>PO-08</x:v>
      </x:c>
      <x:c r="B12" s="18" t="str">
        <x:v>Dữ liệu cá nhân</x:v>
      </x:c>
      <x:c r="C12" s="18" t="str">
        <x:v>Có yêu cầu xóa hồ sơ; đồng thời cần lịch sử tuyển và audit bất biến.</x:v>
      </x:c>
      <x:c r="D12" s="18" t="str">
        <x:v>Retention, ẩn danh, sao lưu, export và danh sách talent pool sau xóa xử lý theo chính sách nào?</x:v>
      </x:c>
      <x:c r="E12" s="18" t="str">
        <x:v>NFR-14,S5-06,S8-09</x:v>
      </x:c>
      <x:c r="F12" s="18" t="str">
        <x:v>Chưa xác nhận</x:v>
      </x:c>
    </x:row>
    <x:row r="13" ht="72" customHeight="1">
      <x:c r="A13" s="18" t="str">
        <x:v>PO-09</x:v>
      </x:c>
      <x:c r="B13" s="18" t="str">
        <x:v>Số liệu báo cáo</x:v>
      </x:c>
      <x:c r="C13" s="18" t="str">
        <x:v>Time-to-hire ghi từ duyệt REQ đến ứng viên nhận việc, nhưng 'nhận việc' có thể là chấp nhận offer hoặc ngày đi làm.</x:v>
      </x:c>
      <x:c r="D13" s="18" t="str">
        <x:v>Chốt ngày bắt đầu/kết thúc; ứng viên áp nhiều vị trí, gộp trùng có đếm bao nhiêu hồ sơ?</x:v>
      </x:c>
      <x:c r="E13" s="18" t="str">
        <x:v>S8-05,S8-07,S8-08</x:v>
      </x:c>
      <x:c r="F13" s="18" t="str">
        <x:v>Chưa xác nhận</x:v>
      </x:c>
    </x:row>
    <x:row r="14" ht="72" customHeight="1">
      <x:c r="A14" s="18" t="str">
        <x:v>PO-10</x:v>
      </x:c>
      <x:c r="B14" s="18" t="str">
        <x:v>Chỉ số chất lượng ứng viên</x:v>
      </x:c>
      <x:c r="C14" s="18" t="str">
        <x:v>S8-09 yêu cầu nguồn có ứng viên chất lượng nhất nhưng chưa có công thức.</x:v>
      </x:c>
      <x:c r="D14" s="18" t="str">
        <x:v>Chất lượng theo đạt sàng lọc, score interview hay tỷ lệ nhận việc?</x:v>
      </x:c>
      <x:c r="E14" s="18" t="str">
        <x:v>S8-09</x:v>
      </x:c>
      <x:c r="F14" s="18" t="str">
        <x:v>Chưa xác nhận</x:v>
      </x:c>
    </x:row>
    <x:row r="15" ht="72" customHeight="1">
      <x:c r="A15" s="18" t="str">
        <x:v>PO-11</x:v>
      </x:c>
      <x:c r="B15" s="18" t="str">
        <x:v>Hiệu năng và môi trường</x:v>
      </x:c>
      <x:c r="C15" s="18" t="str">
        <x:v>Danh sách &lt;1,5 giây, dashboard &lt;2 giây nhưng chưa rõ percentile và hạ tầng chuẩn.</x:v>
      </x:c>
      <x:c r="D15" s="18" t="str">
        <x:v>Chốt p95/p99, điều kiện tải, network và bộ seed để kết quả nghiệm thu lặp lại được.</x:v>
      </x:c>
      <x:c r="E15" s="18" t="str">
        <x:v>NFR-01,NFR-02,NFR-03</x:v>
      </x:c>
      <x:c r="F15" s="18" t="str">
        <x:v>Chưa xác nhận</x:v>
      </x:c>
    </x:row>
    <x:row r="16" ht="72" customHeight="1">
      <x:c r="A16" s="18" t="str">
        <x:v>PO-12</x:v>
      </x:c>
      <x:c r="B16" s="18" t="str">
        <x:v>Phương thức xác thực web</x:v>
      </x:c>
      <x:c r="C16" s="18" t="str">
        <x:v>JWT access/refresh có trong overview; chưa xác nhận refresh cookie hay local storage.</x:v>
      </x:c>
      <x:c r="D16" s="18" t="str">
        <x:v>Chốt mô hình cookie + CSRF/CORS và quy tắc refresh token rotation.</x:v>
      </x:c>
      <x:c r="E16" s="18" t="str">
        <x:v>S1-02,NFR-18,NFR-22</x:v>
      </x:c>
      <x:c r="F16" s="18" t="str">
        <x:v>Chưa xác nhận</x:v>
      </x:c>
    </x:row>
    <x:row r="17" ht="72" customHeight="1">
      <x:c r="A17" s="18" t="str">
        <x:v>PO-13</x:v>
      </x:c>
      <x:c r="B17" s="18" t="str">
        <x:v>Kho tiềm năng</x:v>
      </x:c>
      <x:c r="C17" s="18" t="str">
        <x:v>S5-06 gợi ý ứng viên phù hợp, overview loại AI matching khỏi phạm vi.</x:v>
      </x:c>
      <x:c r="D17" s="18" t="str">
        <x:v>Gợi ý theo bộ lọc kỹ năng/chức danh đơn giản hay cần ML?</x:v>
      </x:c>
      <x:c r="E17" s="18" t="str">
        <x:v>S5-06</x:v>
      </x:c>
      <x:c r="F17" s="18" t="str">
        <x:v>Chưa xác nhận</x:v>
      </x:c>
    </x:row>
    <x:row r="18" ht="72" customHeight="1">
      <x:c r="A18" s="18" t="str">
        <x:v>PO-14</x:v>
      </x:c>
      <x:c r="B18" s="18" t="str">
        <x:v>Bộ ngưỡng rate limit</x:v>
      </x:c>
      <x:c r="C18" s="18" t="str">
        <x:v>S4-03 chống spam và hạn chế số lần/IP/giờ nhưng không ghi con số.</x:v>
      </x:c>
      <x:c r="D18" s="18" t="str">
        <x:v>Chốt ngưỡng, trả 429, thời gian reset và ngoại lệ mạng NAT.</x:v>
      </x:c>
      <x:c r="E18" s="18" t="str">
        <x:v>S4-03,NFR-12</x:v>
      </x:c>
      <x:c r="F18" s="18" t="str">
        <x:v>Chưa xác nhận</x:v>
      </x:c>
    </x:row>
  </x:sheetData>
  <x:mergeCells>
    <x:mergeCell ref="A1:F1"/>
  </x:mergeCells>
  <x:dataValidations count="1">
    <x:dataValidation type="list" sqref="F5:F30">
      <x:formula1>"Chưa xác nhận,Đã chốt,Không áp dụng,Hoãn"</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14" hidden="0" customWidth="1"/>
    <x:col min="3" max="3" width="9" hidden="0" customWidth="1"/>
    <x:col min="4" max="4" width="13" hidden="0" customWidth="1"/>
    <x:col min="5" max="5" width="23" hidden="0" customWidth="1"/>
    <x:col min="6" max="6" width="10" hidden="0" customWidth="1"/>
    <x:col min="7" max="7" width="110" hidden="0" customWidth="1"/>
    <x:col min="8" max="8" width="35" hidden="0" customWidth="1"/>
    <x:col min="9" max="9" width="22" hidden="0" customWidth="1"/>
  </x:cols>
  <x:sheetData>
    <x:row r="1" ht="36" customHeight="1">
      <x:c r="A1" s="6" t="str">
        <x:v>TRACEABILITY | TIÊU CHÍ CHẤP NHẬN NGUỒN</x:v>
      </x:c>
      <x:c r="B1" s="6"/>
      <x:c r="C1" s="6"/>
      <x:c r="D1" s="6"/>
      <x:c r="E1" s="6"/>
      <x:c r="F1" s="6"/>
      <x:c r="G1" s="6"/>
      <x:c r="H1" s="6"/>
      <x:c r="I1" s="6"/>
    </x:row>
    <x:row r="3" ht="34" customHeight="1">
      <x:c r="A3" s="13" t="str">
        <x:v>AC ID</x:v>
      </x:c>
      <x:c r="B3" s="13" t="str">
        <x:v>Story ID</x:v>
      </x:c>
      <x:c r="C3" s="13" t="str">
        <x:v>Sprint</x:v>
      </x:c>
      <x:c r="D3" s="13" t="str">
        <x:v>Epic</x:v>
      </x:c>
      <x:c r="E3" s="13" t="str">
        <x:v>Vai trò</x:v>
      </x:c>
      <x:c r="F3" s="13" t="str">
        <x:v>AC số</x:v>
      </x:c>
      <x:c r="G3" s="13" t="str">
        <x:v>Tiêu chí chấp nhận gốc</x:v>
      </x:c>
      <x:c r="H3" s="13" t="str">
        <x:v>Ô nguồn trong backlog</x:v>
      </x:c>
      <x:c r="I3" s="13" t="str">
        <x:v>TC đối chiếu</x:v>
      </x:c>
    </x:row>
    <x:row r="4" ht="61" customHeight="1">
      <x:c r="A4" s="18" t="str">
        <x:v>S1-01-AC01</x:v>
      </x:c>
      <x:c r="B4" s="18" t="str">
        <x:v>S1-01</x:v>
      </x:c>
      <x:c r="C4" s="18" t="n">
        <x:v>1</x:v>
      </x:c>
      <x:c r="D4" s="18" t="str">
        <x:v>EP-01</x:v>
      </x:c>
      <x:c r="E4" s="18" t="str">
        <x:v>nhân sự nội bộ</x:v>
      </x:c>
      <x:c r="F4" s="18" t="n">
        <x:v>1</x:v>
      </x:c>
      <x:c r="G4" s="18" t="str">
        <x:v>Đăng nhập đúng thì vào được trang chủ tương ứng với vai trò</x:v>
      </x:c>
      <x:c r="H4" s="18" t="str">
        <x:v>4. Product Backlog!F7</x:v>
      </x:c>
      <x:c r="I4" s="18" t="str">
        <x:v>TC-S1-01-01</x:v>
      </x:c>
    </x:row>
    <x:row r="5" ht="61" customHeight="1">
      <x:c r="A5" s="18" t="str">
        <x:v>S1-01-AC02</x:v>
      </x:c>
      <x:c r="B5" s="18" t="str">
        <x:v>S1-01</x:v>
      </x:c>
      <x:c r="C5" s="18" t="n">
        <x:v>1</x:v>
      </x:c>
      <x:c r="D5" s="18" t="str">
        <x:v>EP-01</x:v>
      </x:c>
      <x:c r="E5" s="18" t="str">
        <x:v>nhân sự nội bộ</x:v>
      </x:c>
      <x:c r="F5" s="18" t="n">
        <x:v>2</x:v>
      </x:c>
      <x:c r="G5" s="18" t="str">
        <x:v>Sai thông tin hiển thị thông báo chung, không tiết lộ email có tồn tại hay không</x:v>
      </x:c>
      <x:c r="H5" s="18" t="str">
        <x:v>4. Product Backlog!F7</x:v>
      </x:c>
      <x:c r="I5" s="18" t="str">
        <x:v>TC-S1-01-02</x:v>
      </x:c>
    </x:row>
    <x:row r="6" ht="61" customHeight="1">
      <x:c r="A6" s="18" t="str">
        <x:v>S1-01-AC03</x:v>
      </x:c>
      <x:c r="B6" s="18" t="str">
        <x:v>S1-01</x:v>
      </x:c>
      <x:c r="C6" s="18" t="n">
        <x:v>1</x:v>
      </x:c>
      <x:c r="D6" s="18" t="str">
        <x:v>EP-01</x:v>
      </x:c>
      <x:c r="E6" s="18" t="str">
        <x:v>nhân sự nội bộ</x:v>
      </x:c>
      <x:c r="F6" s="18" t="n">
        <x:v>3</x:v>
      </x:c>
      <x:c r="G6" s="18" t="str">
        <x:v>Khoá tạm 15 phút sau 5 lần sai liên tiếp</x:v>
      </x:c>
      <x:c r="H6" s="18" t="str">
        <x:v>4. Product Backlog!F7</x:v>
      </x:c>
      <x:c r="I6" s="18" t="str">
        <x:v>TC-S1-01-03</x:v>
      </x:c>
    </x:row>
    <x:row r="7" ht="61" customHeight="1">
      <x:c r="A7" s="18" t="str">
        <x:v>S1-02-AC01</x:v>
      </x:c>
      <x:c r="B7" s="18" t="str">
        <x:v>S1-02</x:v>
      </x:c>
      <x:c r="C7" s="18" t="n">
        <x:v>1</x:v>
      </x:c>
      <x:c r="D7" s="18" t="str">
        <x:v>EP-01</x:v>
      </x:c>
      <x:c r="E7" s="18" t="str">
        <x:v>nhân sự nội bộ</x:v>
      </x:c>
      <x:c r="F7" s="18" t="n">
        <x:v>1</x:v>
      </x:c>
      <x:c r="G7" s="18" t="str">
        <x:v>Phiên được gia hạn tự động khi còn hoạt động</x:v>
      </x:c>
      <x:c r="H7" s="18" t="str">
        <x:v>4. Product Backlog!F8</x:v>
      </x:c>
      <x:c r="I7" s="18" t="str">
        <x:v>TC-S1-02-01</x:v>
      </x:c>
    </x:row>
    <x:row r="8" ht="61" customHeight="1">
      <x:c r="A8" s="18" t="str">
        <x:v>S1-02-AC02</x:v>
      </x:c>
      <x:c r="B8" s="18" t="str">
        <x:v>S1-02</x:v>
      </x:c>
      <x:c r="C8" s="18" t="n">
        <x:v>1</x:v>
      </x:c>
      <x:c r="D8" s="18" t="str">
        <x:v>EP-01</x:v>
      </x:c>
      <x:c r="E8" s="18" t="str">
        <x:v>nhân sự nội bộ</x:v>
      </x:c>
      <x:c r="F8" s="18" t="n">
        <x:v>2</x:v>
      </x:c>
      <x:c r="G8" s="18" t="str">
        <x:v>Đăng xuất làm mất hiệu lực phiên ngay lập tức phía server</x:v>
      </x:c>
      <x:c r="H8" s="18" t="str">
        <x:v>4. Product Backlog!F8</x:v>
      </x:c>
      <x:c r="I8" s="18" t="str">
        <x:v>TC-S1-02-02</x:v>
      </x:c>
    </x:row>
    <x:row r="9" ht="61" customHeight="1">
      <x:c r="A9" s="18" t="str">
        <x:v>S1-02-AC03</x:v>
      </x:c>
      <x:c r="B9" s="18" t="str">
        <x:v>S1-02</x:v>
      </x:c>
      <x:c r="C9" s="18" t="n">
        <x:v>1</x:v>
      </x:c>
      <x:c r="D9" s="18" t="str">
        <x:v>EP-01</x:v>
      </x:c>
      <x:c r="E9" s="18" t="str">
        <x:v>nhân sự nội bộ</x:v>
      </x:c>
      <x:c r="F9" s="18" t="n">
        <x:v>3</x:v>
      </x:c>
      <x:c r="G9" s="18" t="str">
        <x:v>Phiên hết hạn đưa về trang đăng nhập kèm thông báo rõ ràng</x:v>
      </x:c>
      <x:c r="H9" s="18" t="str">
        <x:v>4. Product Backlog!F8</x:v>
      </x:c>
      <x:c r="I9" s="18" t="str">
        <x:v>TC-S1-02-03</x:v>
      </x:c>
    </x:row>
    <x:row r="10" ht="61" customHeight="1">
      <x:c r="A10" s="18" t="str">
        <x:v>S1-03-AC01</x:v>
      </x:c>
      <x:c r="B10" s="18" t="str">
        <x:v>S1-03</x:v>
      </x:c>
      <x:c r="C10" s="18" t="n">
        <x:v>1</x:v>
      </x:c>
      <x:c r="D10" s="18" t="str">
        <x:v>EP-01</x:v>
      </x:c>
      <x:c r="E10" s="18" t="str">
        <x:v>nhân sự nội bộ</x:v>
      </x:c>
      <x:c r="F10" s="18" t="n">
        <x:v>1</x:v>
      </x:c>
      <x:c r="G10" s="18" t="str">
        <x:v>Nhập email nhận được liên kết đặt lại có hiệu lực 30 phút</x:v>
      </x:c>
      <x:c r="H10" s="18" t="str">
        <x:v>4. Product Backlog!F9</x:v>
      </x:c>
      <x:c r="I10" s="18" t="str">
        <x:v>TC-S1-03-01</x:v>
      </x:c>
    </x:row>
    <x:row r="11" ht="61" customHeight="1">
      <x:c r="A11" s="18" t="str">
        <x:v>S1-03-AC02</x:v>
      </x:c>
      <x:c r="B11" s="18" t="str">
        <x:v>S1-03</x:v>
      </x:c>
      <x:c r="C11" s="18" t="n">
        <x:v>1</x:v>
      </x:c>
      <x:c r="D11" s="18" t="str">
        <x:v>EP-01</x:v>
      </x:c>
      <x:c r="E11" s="18" t="str">
        <x:v>nhân sự nội bộ</x:v>
      </x:c>
      <x:c r="F11" s="18" t="n">
        <x:v>2</x:v>
      </x:c>
      <x:c r="G11" s="18" t="str">
        <x:v>Liên kết chỉ dùng được một lần</x:v>
      </x:c>
      <x:c r="H11" s="18" t="str">
        <x:v>4. Product Backlog!F9</x:v>
      </x:c>
      <x:c r="I11" s="18" t="str">
        <x:v>TC-S1-03-02</x:v>
      </x:c>
    </x:row>
    <x:row r="12" ht="61" customHeight="1">
      <x:c r="A12" s="18" t="str">
        <x:v>S1-03-AC03</x:v>
      </x:c>
      <x:c r="B12" s="18" t="str">
        <x:v>S1-03</x:v>
      </x:c>
      <x:c r="C12" s="18" t="n">
        <x:v>1</x:v>
      </x:c>
      <x:c r="D12" s="18" t="str">
        <x:v>EP-01</x:v>
      </x:c>
      <x:c r="E12" s="18" t="str">
        <x:v>nhân sự nội bộ</x:v>
      </x:c>
      <x:c r="F12" s="18" t="n">
        <x:v>3</x:v>
      </x:c>
      <x:c r="G12" s="18" t="str">
        <x:v>Email không tồn tại vẫn hiển thị cùng một thông báo</x:v>
      </x:c>
      <x:c r="H12" s="18" t="str">
        <x:v>4. Product Backlog!F9</x:v>
      </x:c>
      <x:c r="I12" s="18" t="str">
        <x:v>TC-S1-03-03</x:v>
      </x:c>
    </x:row>
    <x:row r="13" ht="61" customHeight="1">
      <x:c r="A13" s="18" t="str">
        <x:v>S1-04-AC01</x:v>
      </x:c>
      <x:c r="B13" s="18" t="str">
        <x:v>S1-04</x:v>
      </x:c>
      <x:c r="C13" s="18" t="n">
        <x:v>1</x:v>
      </x:c>
      <x:c r="D13" s="18" t="str">
        <x:v>EP-01</x:v>
      </x:c>
      <x:c r="E13" s="18" t="str">
        <x:v>nhân sự nội bộ</x:v>
      </x:c>
      <x:c r="F13" s="18" t="n">
        <x:v>1</x:v>
      </x:c>
      <x:c r="G13" s="18" t="str">
        <x:v>Bắt buộc nhập mật khẩu hiện tại</x:v>
      </x:c>
      <x:c r="H13" s="18" t="str">
        <x:v>4. Product Backlog!F10</x:v>
      </x:c>
      <x:c r="I13" s="18" t="str">
        <x:v>TC-S1-04-01</x:v>
      </x:c>
    </x:row>
    <x:row r="14" ht="61" customHeight="1">
      <x:c r="A14" s="18" t="str">
        <x:v>S1-04-AC02</x:v>
      </x:c>
      <x:c r="B14" s="18" t="str">
        <x:v>S1-04</x:v>
      </x:c>
      <x:c r="C14" s="18" t="n">
        <x:v>1</x:v>
      </x:c>
      <x:c r="D14" s="18" t="str">
        <x:v>EP-01</x:v>
      </x:c>
      <x:c r="E14" s="18" t="str">
        <x:v>nhân sự nội bộ</x:v>
      </x:c>
      <x:c r="F14" s="18" t="n">
        <x:v>2</x:v>
      </x:c>
      <x:c r="G14" s="18" t="str">
        <x:v>Mật khẩu mới tối thiểu 8 ký tự, có chữ và số</x:v>
      </x:c>
      <x:c r="H14" s="18" t="str">
        <x:v>4. Product Backlog!F10</x:v>
      </x:c>
      <x:c r="I14" s="18" t="str">
        <x:v>TC-S1-04-02</x:v>
      </x:c>
    </x:row>
    <x:row r="15" ht="61" customHeight="1">
      <x:c r="A15" s="18" t="str">
        <x:v>S1-04-AC03</x:v>
      </x:c>
      <x:c r="B15" s="18" t="str">
        <x:v>S1-04</x:v>
      </x:c>
      <x:c r="C15" s="18" t="n">
        <x:v>1</x:v>
      </x:c>
      <x:c r="D15" s="18" t="str">
        <x:v>EP-01</x:v>
      </x:c>
      <x:c r="E15" s="18" t="str">
        <x:v>nhân sự nội bộ</x:v>
      </x:c>
      <x:c r="F15" s="18" t="n">
        <x:v>3</x:v>
      </x:c>
      <x:c r="G15" s="18" t="str">
        <x:v>Đổi xong thu hồi các phiên đăng nhập khác</x:v>
      </x:c>
      <x:c r="H15" s="18" t="str">
        <x:v>4. Product Backlog!F10</x:v>
      </x:c>
      <x:c r="I15" s="18" t="str">
        <x:v>TC-S1-04-03</x:v>
      </x:c>
    </x:row>
    <x:row r="16" ht="61" customHeight="1">
      <x:c r="A16" s="18" t="str">
        <x:v>S1-05-AC01</x:v>
      </x:c>
      <x:c r="B16" s="18" t="str">
        <x:v>S1-05</x:v>
      </x:c>
      <x:c r="C16" s="18" t="n">
        <x:v>1</x:v>
      </x:c>
      <x:c r="D16" s="18" t="str">
        <x:v>EP-01</x:v>
      </x:c>
      <x:c r="E16" s="18" t="str">
        <x:v>Quản trị hệ thống</x:v>
      </x:c>
      <x:c r="F16" s="18" t="n">
        <x:v>1</x:v>
      </x:c>
      <x:c r="G16" s="18" t="str">
        <x:v>Khai báo được quyền cho từng vai trò trong bảy vai trò nghiệp vụ</x:v>
      </x:c>
      <x:c r="H16" s="18" t="str">
        <x:v>4. Product Backlog!F11</x:v>
      </x:c>
      <x:c r="I16" s="18" t="str">
        <x:v>TC-S1-05-01</x:v>
      </x:c>
    </x:row>
    <x:row r="17" ht="61" customHeight="1">
      <x:c r="A17" s="18" t="str">
        <x:v>S1-05-AC02</x:v>
      </x:c>
      <x:c r="B17" s="18" t="str">
        <x:v>S1-05</x:v>
      </x:c>
      <x:c r="C17" s="18" t="n">
        <x:v>1</x:v>
      </x:c>
      <x:c r="D17" s="18" t="str">
        <x:v>EP-01</x:v>
      </x:c>
      <x:c r="E17" s="18" t="str">
        <x:v>Quản trị hệ thống</x:v>
      </x:c>
      <x:c r="F17" s="18" t="n">
        <x:v>2</x:v>
      </x:c>
      <x:c r="G17" s="18" t="str">
        <x:v>Mọi chức năng đều kiểm quyền ở tầng server, mặc định là từ chối</x:v>
      </x:c>
      <x:c r="H17" s="18" t="str">
        <x:v>4. Product Backlog!F11</x:v>
      </x:c>
      <x:c r="I17" s="18" t="str">
        <x:v>TC-S1-05-02</x:v>
      </x:c>
    </x:row>
    <x:row r="18" ht="61" customHeight="1">
      <x:c r="A18" s="18" t="str">
        <x:v>S1-05-AC03</x:v>
      </x:c>
      <x:c r="B18" s="18" t="str">
        <x:v>S1-05</x:v>
      </x:c>
      <x:c r="C18" s="18" t="n">
        <x:v>1</x:v>
      </x:c>
      <x:c r="D18" s="18" t="str">
        <x:v>EP-01</x:v>
      </x:c>
      <x:c r="E18" s="18" t="str">
        <x:v>Quản trị hệ thống</x:v>
      </x:c>
      <x:c r="F18" s="18" t="n">
        <x:v>3</x:v>
      </x:c>
      <x:c r="G18" s="18" t="str">
        <x:v>Truy cập thiếu quyền hiển thị thông báo tiếng Việt rõ ràng</x:v>
      </x:c>
      <x:c r="H18" s="18" t="str">
        <x:v>4. Product Backlog!F11</x:v>
      </x:c>
      <x:c r="I18" s="18" t="str">
        <x:v>TC-S1-05-03</x:v>
      </x:c>
    </x:row>
    <x:row r="19" ht="61" customHeight="1">
      <x:c r="A19" s="18" t="str">
        <x:v>S1-05-AC04</x:v>
      </x:c>
      <x:c r="B19" s="18" t="str">
        <x:v>S1-05</x:v>
      </x:c>
      <x:c r="C19" s="18" t="n">
        <x:v>1</x:v>
      </x:c>
      <x:c r="D19" s="18" t="str">
        <x:v>EP-01</x:v>
      </x:c>
      <x:c r="E19" s="18" t="str">
        <x:v>Quản trị hệ thống</x:v>
      </x:c>
      <x:c r="F19" s="18" t="n">
        <x:v>4</x:v>
      </x:c>
      <x:c r="G19" s="18" t="str">
        <x:v>Có kiểm thử tự động cho ít nhất ba vai trò</x:v>
      </x:c>
      <x:c r="H19" s="18" t="str">
        <x:v>4. Product Backlog!F11</x:v>
      </x:c>
      <x:c r="I19" s="18" t="str">
        <x:v>TC-S1-05-04</x:v>
      </x:c>
    </x:row>
    <x:row r="20" ht="61" customHeight="1">
      <x:c r="A20" s="18" t="str">
        <x:v>S1-06-AC01</x:v>
      </x:c>
      <x:c r="B20" s="18" t="str">
        <x:v>S1-06</x:v>
      </x:c>
      <x:c r="C20" s="18" t="n">
        <x:v>1</x:v>
      </x:c>
      <x:c r="D20" s="18" t="str">
        <x:v>EP-01</x:v>
      </x:c>
      <x:c r="E20" s="18" t="str">
        <x:v>nhân sự nội bộ</x:v>
      </x:c>
      <x:c r="F20" s="18" t="n">
        <x:v>1</x:v>
      </x:c>
      <x:c r="G20" s="18" t="str">
        <x:v>Mục menu không thuộc quyền thì không hiển thị</x:v>
      </x:c>
      <x:c r="H20" s="18" t="str">
        <x:v>4. Product Backlog!F12</x:v>
      </x:c>
      <x:c r="I20" s="18" t="str">
        <x:v>TC-S1-06-01</x:v>
      </x:c>
    </x:row>
    <x:row r="21" ht="61" customHeight="1">
      <x:c r="A21" s="18" t="str">
        <x:v>S1-06-AC02</x:v>
      </x:c>
      <x:c r="B21" s="18" t="str">
        <x:v>S1-06</x:v>
      </x:c>
      <x:c r="C21" s="18" t="n">
        <x:v>1</x:v>
      </x:c>
      <x:c r="D21" s="18" t="str">
        <x:v>EP-01</x:v>
      </x:c>
      <x:c r="E21" s="18" t="str">
        <x:v>nhân sự nội bộ</x:v>
      </x:c>
      <x:c r="F21" s="18" t="n">
        <x:v>2</x:v>
      </x:c>
      <x:c r="G21" s="18" t="str">
        <x:v>Hiển thị tên và vai trò người đang đăng nhập</x:v>
      </x:c>
      <x:c r="H21" s="18" t="str">
        <x:v>4. Product Backlog!F12</x:v>
      </x:c>
      <x:c r="I21" s="18" t="str">
        <x:v>TC-S1-06-02</x:v>
      </x:c>
    </x:row>
    <x:row r="22" ht="61" customHeight="1">
      <x:c r="A22" s="18" t="str">
        <x:v>S1-06-AC03</x:v>
      </x:c>
      <x:c r="B22" s="18" t="str">
        <x:v>S1-06</x:v>
      </x:c>
      <x:c r="C22" s="18" t="n">
        <x:v>1</x:v>
      </x:c>
      <x:c r="D22" s="18" t="str">
        <x:v>EP-01</x:v>
      </x:c>
      <x:c r="E22" s="18" t="str">
        <x:v>nhân sự nội bộ</x:v>
      </x:c>
      <x:c r="F22" s="18" t="n">
        <x:v>3</x:v>
      </x:c>
      <x:c r="G22" s="18" t="str">
        <x:v>Dùng được thuận tiện trên màn hình 360px</x:v>
      </x:c>
      <x:c r="H22" s="18" t="str">
        <x:v>4. Product Backlog!F12</x:v>
      </x:c>
      <x:c r="I22" s="18" t="str">
        <x:v>TC-S1-06-03</x:v>
      </x:c>
    </x:row>
    <x:row r="23" ht="61" customHeight="1">
      <x:c r="A23" s="18" t="str">
        <x:v>S1-07-AC01</x:v>
      </x:c>
      <x:c r="B23" s="18" t="str">
        <x:v>S1-07</x:v>
      </x:c>
      <x:c r="C23" s="18" t="n">
        <x:v>1</x:v>
      </x:c>
      <x:c r="D23" s="18" t="str">
        <x:v>EP-01</x:v>
      </x:c>
      <x:c r="E23" s="18" t="str">
        <x:v>nhân sự nội bộ</x:v>
      </x:c>
      <x:c r="F23" s="18" t="n">
        <x:v>1</x:v>
      </x:c>
      <x:c r="G23" s="18" t="str">
        <x:v>Trang báo lỗi dùng chung giao diện ứng dụng</x:v>
      </x:c>
      <x:c r="H23" s="18" t="str">
        <x:v>4. Product Backlog!F13</x:v>
      </x:c>
      <x:c r="I23" s="18" t="str">
        <x:v>TC-S1-07-01</x:v>
      </x:c>
    </x:row>
    <x:row r="24" ht="61" customHeight="1">
      <x:c r="A24" s="18" t="str">
        <x:v>S1-07-AC02</x:v>
      </x:c>
      <x:c r="B24" s="18" t="str">
        <x:v>S1-07</x:v>
      </x:c>
      <x:c r="C24" s="18" t="n">
        <x:v>1</x:v>
      </x:c>
      <x:c r="D24" s="18" t="str">
        <x:v>EP-01</x:v>
      </x:c>
      <x:c r="E24" s="18" t="str">
        <x:v>nhân sự nội bộ</x:v>
      </x:c>
      <x:c r="F24" s="18" t="n">
        <x:v>2</x:v>
      </x:c>
      <x:c r="G24" s="18" t="str">
        <x:v>Mỗi trang lỗi có một hành động gợi ý để quay lại luồng làm việc</x:v>
      </x:c>
      <x:c r="H24" s="18" t="str">
        <x:v>4. Product Backlog!F13</x:v>
      </x:c>
      <x:c r="I24" s="18" t="str">
        <x:v>TC-S1-07-02</x:v>
      </x:c>
    </x:row>
    <x:row r="25" ht="61" customHeight="1">
      <x:c r="A25" s="18" t="str">
        <x:v>S1-08-AC01</x:v>
      </x:c>
      <x:c r="B25" s="18" t="str">
        <x:v>S1-08</x:v>
      </x:c>
      <x:c r="C25" s="18" t="n">
        <x:v>1</x:v>
      </x:c>
      <x:c r="D25" s="18" t="str">
        <x:v>EP-01</x:v>
      </x:c>
      <x:c r="E25" s="18" t="str">
        <x:v>Quản trị hệ thống</x:v>
      </x:c>
      <x:c r="F25" s="18" t="n">
        <x:v>1</x:v>
      </x:c>
      <x:c r="G25" s="18" t="str">
        <x:v>Tạo tài khoản gửi email kích hoạt kèm mật khẩu tạm</x:v>
      </x:c>
      <x:c r="H25" s="18" t="str">
        <x:v>4. Product Backlog!F14</x:v>
      </x:c>
      <x:c r="I25" s="18" t="str">
        <x:v>TC-S1-08-01</x:v>
      </x:c>
    </x:row>
    <x:row r="26" ht="61" customHeight="1">
      <x:c r="A26" s="18" t="str">
        <x:v>S1-08-AC02</x:v>
      </x:c>
      <x:c r="B26" s="18" t="str">
        <x:v>S1-08</x:v>
      </x:c>
      <x:c r="C26" s="18" t="n">
        <x:v>1</x:v>
      </x:c>
      <x:c r="D26" s="18" t="str">
        <x:v>EP-01</x:v>
      </x:c>
      <x:c r="E26" s="18" t="str">
        <x:v>Quản trị hệ thống</x:v>
      </x:c>
      <x:c r="F26" s="18" t="n">
        <x:v>2</x:v>
      </x:c>
      <x:c r="G26" s="18" t="str">
        <x:v>Email trùng bị từ chối kèm thông báo cụ thể</x:v>
      </x:c>
      <x:c r="H26" s="18" t="str">
        <x:v>4. Product Backlog!F14</x:v>
      </x:c>
      <x:c r="I26" s="18" t="str">
        <x:v>TC-S1-08-02</x:v>
      </x:c>
    </x:row>
    <x:row r="27" ht="61" customHeight="1">
      <x:c r="A27" s="18" t="str">
        <x:v>S1-08-AC03</x:v>
      </x:c>
      <x:c r="B27" s="18" t="str">
        <x:v>S1-08</x:v>
      </x:c>
      <x:c r="C27" s="18" t="n">
        <x:v>1</x:v>
      </x:c>
      <x:c r="D27" s="18" t="str">
        <x:v>EP-01</x:v>
      </x:c>
      <x:c r="E27" s="18" t="str">
        <x:v>Quản trị hệ thống</x:v>
      </x:c>
      <x:c r="F27" s="18" t="n">
        <x:v>3</x:v>
      </x:c>
      <x:c r="G27" s="18" t="str">
        <x:v>Tìm theo tên, email, phòng ban; lọc theo vai trò và trạng thái</x:v>
      </x:c>
      <x:c r="H27" s="18" t="str">
        <x:v>4. Product Backlog!F14</x:v>
      </x:c>
      <x:c r="I27" s="18" t="str">
        <x:v>TC-S1-08-03</x:v>
      </x:c>
    </x:row>
    <x:row r="28" ht="61" customHeight="1">
      <x:c r="A28" s="18" t="str">
        <x:v>S1-08-AC04</x:v>
      </x:c>
      <x:c r="B28" s="18" t="str">
        <x:v>S1-08</x:v>
      </x:c>
      <x:c r="C28" s="18" t="n">
        <x:v>1</x:v>
      </x:c>
      <x:c r="D28" s="18" t="str">
        <x:v>EP-01</x:v>
      </x:c>
      <x:c r="E28" s="18" t="str">
        <x:v>Quản trị hệ thống</x:v>
      </x:c>
      <x:c r="F28" s="18" t="n">
        <x:v>4</x:v>
      </x:c>
      <x:c r="G28" s="18" t="str">
        <x:v>Danh sách phân trang, mặc định 20 dòng</x:v>
      </x:c>
      <x:c r="H28" s="18" t="str">
        <x:v>4. Product Backlog!F14</x:v>
      </x:c>
      <x:c r="I28" s="18" t="str">
        <x:v>TC-S1-08-04</x:v>
      </x:c>
    </x:row>
    <x:row r="29" ht="61" customHeight="1">
      <x:c r="A29" s="18" t="str">
        <x:v>S1-09-AC01</x:v>
      </x:c>
      <x:c r="B29" s="18" t="str">
        <x:v>S1-09</x:v>
      </x:c>
      <x:c r="C29" s="18" t="n">
        <x:v>1</x:v>
      </x:c>
      <x:c r="D29" s="18" t="str">
        <x:v>EP-01</x:v>
      </x:c>
      <x:c r="E29" s="18" t="str">
        <x:v>Quản trị hệ thống</x:v>
      </x:c>
      <x:c r="F29" s="18" t="n">
        <x:v>1</x:v>
      </x:c>
      <x:c r="G29" s="18" t="str">
        <x:v>Một người dùng có thể giữ nhiều vai trò cùng lúc</x:v>
      </x:c>
      <x:c r="H29" s="18" t="str">
        <x:v>4. Product Backlog!F15</x:v>
      </x:c>
      <x:c r="I29" s="18" t="str">
        <x:v>TC-S1-09-01</x:v>
      </x:c>
    </x:row>
    <x:row r="30" ht="61" customHeight="1">
      <x:c r="A30" s="18" t="str">
        <x:v>S1-09-AC02</x:v>
      </x:c>
      <x:c r="B30" s="18" t="str">
        <x:v>S1-09</x:v>
      </x:c>
      <x:c r="C30" s="18" t="n">
        <x:v>1</x:v>
      </x:c>
      <x:c r="D30" s="18" t="str">
        <x:v>EP-01</x:v>
      </x:c>
      <x:c r="E30" s="18" t="str">
        <x:v>Quản trị hệ thống</x:v>
      </x:c>
      <x:c r="F30" s="18" t="n">
        <x:v>2</x:v>
      </x:c>
      <x:c r="G30" s="18" t="str">
        <x:v>Thay đổi vai trò có hiệu lực ngay ở thao tác kế tiếp</x:v>
      </x:c>
      <x:c r="H30" s="18" t="str">
        <x:v>4. Product Backlog!F15</x:v>
      </x:c>
      <x:c r="I30" s="18" t="str">
        <x:v>TC-S1-09-02</x:v>
      </x:c>
    </x:row>
    <x:row r="31" ht="61" customHeight="1">
      <x:c r="A31" s="18" t="str">
        <x:v>S1-09-AC03</x:v>
      </x:c>
      <x:c r="B31" s="18" t="str">
        <x:v>S1-09</x:v>
      </x:c>
      <x:c r="C31" s="18" t="n">
        <x:v>1</x:v>
      </x:c>
      <x:c r="D31" s="18" t="str">
        <x:v>EP-01</x:v>
      </x:c>
      <x:c r="E31" s="18" t="str">
        <x:v>Quản trị hệ thống</x:v>
      </x:c>
      <x:c r="F31" s="18" t="n">
        <x:v>3</x:v>
      </x:c>
      <x:c r="G31" s="18" t="str">
        <x:v>Không thể tự thu hồi vai trò quản trị của chính mình</x:v>
      </x:c>
      <x:c r="H31" s="18" t="str">
        <x:v>4. Product Backlog!F15</x:v>
      </x:c>
      <x:c r="I31" s="18" t="str">
        <x:v>TC-S1-09-03</x:v>
      </x:c>
    </x:row>
    <x:row r="32" ht="61" customHeight="1">
      <x:c r="A32" s="18" t="str">
        <x:v>S1-10-AC01</x:v>
      </x:c>
      <x:c r="B32" s="18" t="str">
        <x:v>S1-10</x:v>
      </x:c>
      <x:c r="C32" s="18" t="n">
        <x:v>1</x:v>
      </x:c>
      <x:c r="D32" s="18" t="str">
        <x:v>EP-01</x:v>
      </x:c>
      <x:c r="E32" s="18" t="str">
        <x:v>Quản trị hệ thống</x:v>
      </x:c>
      <x:c r="F32" s="18" t="n">
        <x:v>1</x:v>
      </x:c>
      <x:c r="G32" s="18" t="str">
        <x:v>Tài khoản bị khoá không đăng nhập được và bị thu hồi phiên đang mở</x:v>
      </x:c>
      <x:c r="H32" s="18" t="str">
        <x:v>4. Product Backlog!F16</x:v>
      </x:c>
      <x:c r="I32" s="18" t="str">
        <x:v>TC-S1-10-01</x:v>
      </x:c>
    </x:row>
    <x:row r="33" ht="61" customHeight="1">
      <x:c r="A33" s="18" t="str">
        <x:v>S1-10-AC02</x:v>
      </x:c>
      <x:c r="B33" s="18" t="str">
        <x:v>S1-10</x:v>
      </x:c>
      <x:c r="C33" s="18" t="n">
        <x:v>1</x:v>
      </x:c>
      <x:c r="D33" s="18" t="str">
        <x:v>EP-01</x:v>
      </x:c>
      <x:c r="E33" s="18" t="str">
        <x:v>Quản trị hệ thống</x:v>
      </x:c>
      <x:c r="F33" s="18" t="n">
        <x:v>2</x:v>
      </x:c>
      <x:c r="G33" s="18" t="str">
        <x:v>Bắt buộc ghi lý do khoá</x:v>
      </x:c>
      <x:c r="H33" s="18" t="str">
        <x:v>4. Product Backlog!F16</x:v>
      </x:c>
      <x:c r="I33" s="18" t="str">
        <x:v>TC-S1-10-02</x:v>
      </x:c>
    </x:row>
    <x:row r="34" ht="61" customHeight="1">
      <x:c r="A34" s="18" t="str">
        <x:v>S1-10-AC03</x:v>
      </x:c>
      <x:c r="B34" s="18" t="str">
        <x:v>S1-10</x:v>
      </x:c>
      <x:c r="C34" s="18" t="n">
        <x:v>1</x:v>
      </x:c>
      <x:c r="D34" s="18" t="str">
        <x:v>EP-01</x:v>
      </x:c>
      <x:c r="E34" s="18" t="str">
        <x:v>Quản trị hệ thống</x:v>
      </x:c>
      <x:c r="F34" s="18" t="n">
        <x:v>3</x:v>
      </x:c>
      <x:c r="G34" s="18" t="str">
        <x:v>Vị trí tuyển dụng do người đó phụ trách được cảnh báo cần bàn giao</x:v>
      </x:c>
      <x:c r="H34" s="18" t="str">
        <x:v>4. Product Backlog!F16</x:v>
      </x:c>
      <x:c r="I34" s="18" t="str">
        <x:v>TC-S1-10-03</x:v>
      </x:c>
    </x:row>
    <x:row r="35" ht="61" customHeight="1">
      <x:c r="A35" s="18" t="str">
        <x:v>S2-01-AC01</x:v>
      </x:c>
      <x:c r="B35" s="18" t="str">
        <x:v>S2-01</x:v>
      </x:c>
      <x:c r="C35" s="18" t="n">
        <x:v>2</x:v>
      </x:c>
      <x:c r="D35" s="18" t="str">
        <x:v>EP-01</x:v>
      </x:c>
      <x:c r="E35" s="18" t="str">
        <x:v>Quản trị hệ thống</x:v>
      </x:c>
      <x:c r="F35" s="18" t="n">
        <x:v>1</x:v>
      </x:c>
      <x:c r="G35" s="18" t="str">
        <x:v>Tải được tệp mẫu</x:v>
      </x:c>
      <x:c r="H35" s="18" t="str">
        <x:v>4. Product Backlog!F19</x:v>
      </x:c>
      <x:c r="I35" s="18" t="str">
        <x:v>TC-S2-01-01</x:v>
      </x:c>
    </x:row>
    <x:row r="36" ht="61" customHeight="1">
      <x:c r="A36" s="18" t="str">
        <x:v>S2-01-AC02</x:v>
      </x:c>
      <x:c r="B36" s="18" t="str">
        <x:v>S2-01</x:v>
      </x:c>
      <x:c r="C36" s="18" t="n">
        <x:v>2</x:v>
      </x:c>
      <x:c r="D36" s="18" t="str">
        <x:v>EP-01</x:v>
      </x:c>
      <x:c r="E36" s="18" t="str">
        <x:v>Quản trị hệ thống</x:v>
      </x:c>
      <x:c r="F36" s="18" t="n">
        <x:v>2</x:v>
      </x:c>
      <x:c r="G36" s="18" t="str">
        <x:v>Xem trước và báo lỗi theo từng dòng trước khi nhập</x:v>
      </x:c>
      <x:c r="H36" s="18" t="str">
        <x:v>4. Product Backlog!F19</x:v>
      </x:c>
      <x:c r="I36" s="18" t="str">
        <x:v>TC-S2-01-02</x:v>
      </x:c>
    </x:row>
    <x:row r="37" ht="61" customHeight="1">
      <x:c r="A37" s="18" t="str">
        <x:v>S2-01-AC03</x:v>
      </x:c>
      <x:c r="B37" s="18" t="str">
        <x:v>S2-01</x:v>
      </x:c>
      <x:c r="C37" s="18" t="n">
        <x:v>2</x:v>
      </x:c>
      <x:c r="D37" s="18" t="str">
        <x:v>EP-01</x:v>
      </x:c>
      <x:c r="E37" s="18" t="str">
        <x:v>Quản trị hệ thống</x:v>
      </x:c>
      <x:c r="F37" s="18" t="n">
        <x:v>3</x:v>
      </x:c>
      <x:c r="G37" s="18" t="str">
        <x:v>Dòng lỗi bị bỏ qua, dòng hợp lệ vẫn được nhập, có báo cáo tổng kết</x:v>
      </x:c>
      <x:c r="H37" s="18" t="str">
        <x:v>4. Product Backlog!F19</x:v>
      </x:c>
      <x:c r="I37" s="18" t="str">
        <x:v>TC-S2-01-03</x:v>
      </x:c>
    </x:row>
    <x:row r="38" ht="61" customHeight="1">
      <x:c r="A38" s="18" t="str">
        <x:v>S2-02-AC01</x:v>
      </x:c>
      <x:c r="B38" s="18" t="str">
        <x:v>S2-02</x:v>
      </x:c>
      <x:c r="C38" s="18" t="n">
        <x:v>2</x:v>
      </x:c>
      <x:c r="D38" s="18" t="str">
        <x:v>EP-01</x:v>
      </x:c>
      <x:c r="E38" s="18" t="str">
        <x:v>nhân sự nội bộ</x:v>
      </x:c>
      <x:c r="F38" s="18" t="n">
        <x:v>1</x:v>
      </x:c>
      <x:c r="G38" s="18" t="str">
        <x:v>Sửa được họ tên, số điện thoại, chức danh hiển thị</x:v>
      </x:c>
      <x:c r="H38" s="18" t="str">
        <x:v>4. Product Backlog!F20</x:v>
      </x:c>
      <x:c r="I38" s="18" t="str">
        <x:v>TC-S2-02-01</x:v>
      </x:c>
    </x:row>
    <x:row r="39" ht="61" customHeight="1">
      <x:c r="A39" s="18" t="str">
        <x:v>S2-02-AC02</x:v>
      </x:c>
      <x:c r="B39" s="18" t="str">
        <x:v>S2-02</x:v>
      </x:c>
      <x:c r="C39" s="18" t="n">
        <x:v>2</x:v>
      </x:c>
      <x:c r="D39" s="18" t="str">
        <x:v>EP-01</x:v>
      </x:c>
      <x:c r="E39" s="18" t="str">
        <x:v>nhân sự nội bộ</x:v>
      </x:c>
      <x:c r="F39" s="18" t="n">
        <x:v>2</x:v>
      </x:c>
      <x:c r="G39" s="18" t="str">
        <x:v>Không tự đổi được email, phòng ban và vai trò</x:v>
      </x:c>
      <x:c r="H39" s="18" t="str">
        <x:v>4. Product Backlog!F20</x:v>
      </x:c>
      <x:c r="I39" s="18" t="str">
        <x:v>TC-S2-02-02</x:v>
      </x:c>
    </x:row>
    <x:row r="40" ht="61" customHeight="1">
      <x:c r="A40" s="18" t="str">
        <x:v>S2-02-AC03</x:v>
      </x:c>
      <x:c r="B40" s="18" t="str">
        <x:v>S2-02</x:v>
      </x:c>
      <x:c r="C40" s="18" t="n">
        <x:v>2</x:v>
      </x:c>
      <x:c r="D40" s="18" t="str">
        <x:v>EP-01</x:v>
      </x:c>
      <x:c r="E40" s="18" t="str">
        <x:v>nhân sự nội bộ</x:v>
      </x:c>
      <x:c r="F40" s="18" t="n">
        <x:v>3</x:v>
      </x:c>
      <x:c r="G40" s="18" t="str">
        <x:v>Kiểm tra định dạng số điện thoại Việt Nam</x:v>
      </x:c>
      <x:c r="H40" s="18" t="str">
        <x:v>4. Product Backlog!F20</x:v>
      </x:c>
      <x:c r="I40" s="18" t="str">
        <x:v>TC-S2-02-03</x:v>
      </x:c>
    </x:row>
    <x:row r="41" ht="61" customHeight="1">
      <x:c r="A41" s="18" t="str">
        <x:v>S2-03-AC01</x:v>
      </x:c>
      <x:c r="B41" s="18" t="str">
        <x:v>S2-03</x:v>
      </x:c>
      <x:c r="C41" s="18" t="n">
        <x:v>2</x:v>
      </x:c>
      <x:c r="D41" s="18" t="str">
        <x:v>EP-01</x:v>
      </x:c>
      <x:c r="E41" s="18" t="str">
        <x:v>nhân sự nội bộ</x:v>
      </x:c>
      <x:c r="F41" s="18" t="n">
        <x:v>1</x:v>
      </x:c>
      <x:c r="G41" s="18" t="str">
        <x:v>Chấp nhận JPG/PNG tối đa 2MB</x:v>
      </x:c>
      <x:c r="H41" s="18" t="str">
        <x:v>4. Product Backlog!F21</x:v>
      </x:c>
      <x:c r="I41" s="18" t="str">
        <x:v>TC-S2-03-01</x:v>
      </x:c>
    </x:row>
    <x:row r="42" ht="61" customHeight="1">
      <x:c r="A42" s="18" t="str">
        <x:v>S2-03-AC02</x:v>
      </x:c>
      <x:c r="B42" s="18" t="str">
        <x:v>S2-03</x:v>
      </x:c>
      <x:c r="C42" s="18" t="n">
        <x:v>2</x:v>
      </x:c>
      <x:c r="D42" s="18" t="str">
        <x:v>EP-01</x:v>
      </x:c>
      <x:c r="E42" s="18" t="str">
        <x:v>nhân sự nội bộ</x:v>
      </x:c>
      <x:c r="F42" s="18" t="n">
        <x:v>2</x:v>
      </x:c>
      <x:c r="G42" s="18" t="str">
        <x:v>Ảnh được cắt vuông và tạo bản thu nhỏ</x:v>
      </x:c>
      <x:c r="H42" s="18" t="str">
        <x:v>4. Product Backlog!F21</x:v>
      </x:c>
      <x:c r="I42" s="18" t="str">
        <x:v>TC-S2-03-02</x:v>
      </x:c>
    </x:row>
    <x:row r="43" ht="61" customHeight="1">
      <x:c r="A43" s="18" t="str">
        <x:v>S2-04-AC01</x:v>
      </x:c>
      <x:c r="B43" s="18" t="str">
        <x:v>S2-04</x:v>
      </x:c>
      <x:c r="C43" s="18" t="n">
        <x:v>2</x:v>
      </x:c>
      <x:c r="D43" s="18" t="str">
        <x:v>EP-02</x:v>
      </x:c>
      <x:c r="E43" s="18" t="str">
        <x:v>Trưởng phòng Nhân sự</x:v>
      </x:c>
      <x:c r="F43" s="18" t="n">
        <x:v>1</x:v>
      </x:c>
      <x:c r="G43" s="18" t="str">
        <x:v>Phòng ban có cấu trúc cây nhiều cấp</x:v>
      </x:c>
      <x:c r="H43" s="18" t="str">
        <x:v>4. Product Backlog!F22</x:v>
      </x:c>
      <x:c r="I43" s="18" t="str">
        <x:v>TC-S2-04-01</x:v>
      </x:c>
    </x:row>
    <x:row r="44" ht="61" customHeight="1">
      <x:c r="A44" s="18" t="str">
        <x:v>S2-04-AC02</x:v>
      </x:c>
      <x:c r="B44" s="18" t="str">
        <x:v>S2-04</x:v>
      </x:c>
      <x:c r="C44" s="18" t="n">
        <x:v>2</x:v>
      </x:c>
      <x:c r="D44" s="18" t="str">
        <x:v>EP-02</x:v>
      </x:c>
      <x:c r="E44" s="18" t="str">
        <x:v>Trưởng phòng Nhân sự</x:v>
      </x:c>
      <x:c r="F44" s="18" t="n">
        <x:v>2</x:v>
      </x:c>
      <x:c r="G44" s="18" t="str">
        <x:v>Mỗi phòng ban có một người phụ trách</x:v>
      </x:c>
      <x:c r="H44" s="18" t="str">
        <x:v>4. Product Backlog!F22</x:v>
      </x:c>
      <x:c r="I44" s="18" t="str">
        <x:v>TC-S2-04-02</x:v>
      </x:c>
    </x:row>
    <x:row r="45" ht="61" customHeight="1">
      <x:c r="A45" s="18" t="str">
        <x:v>S2-04-AC03</x:v>
      </x:c>
      <x:c r="B45" s="18" t="str">
        <x:v>S2-04</x:v>
      </x:c>
      <x:c r="C45" s="18" t="n">
        <x:v>2</x:v>
      </x:c>
      <x:c r="D45" s="18" t="str">
        <x:v>EP-02</x:v>
      </x:c>
      <x:c r="E45" s="18" t="str">
        <x:v>Trưởng phòng Nhân sự</x:v>
      </x:c>
      <x:c r="F45" s="18" t="n">
        <x:v>3</x:v>
      </x:c>
      <x:c r="G45" s="18" t="str">
        <x:v>Phòng ban đang có yêu cầu tuyển dụng mở thì không xoá được, chỉ ngừng áp dụng</x:v>
      </x:c>
      <x:c r="H45" s="18" t="str">
        <x:v>4. Product Backlog!F22</x:v>
      </x:c>
      <x:c r="I45" s="18" t="str">
        <x:v>TC-S2-04-03</x:v>
      </x:c>
    </x:row>
    <x:row r="46" ht="61" customHeight="1">
      <x:c r="A46" s="18" t="str">
        <x:v>S2-05-AC01</x:v>
      </x:c>
      <x:c r="B46" s="18" t="str">
        <x:v>S2-05</x:v>
      </x:c>
      <x:c r="C46" s="18" t="n">
        <x:v>2</x:v>
      </x:c>
      <x:c r="D46" s="18" t="str">
        <x:v>EP-02</x:v>
      </x:c>
      <x:c r="E46" s="18" t="str">
        <x:v>Trưởng phòng Nhân sự</x:v>
      </x:c>
      <x:c r="F46" s="18" t="n">
        <x:v>1</x:v>
      </x:c>
      <x:c r="G46" s="18" t="str">
        <x:v>Mỗi chức danh có mã, tên, cấp bậc, dải lương tối thiểu và tối đa</x:v>
      </x:c>
      <x:c r="H46" s="18" t="str">
        <x:v>4. Product Backlog!F23</x:v>
      </x:c>
      <x:c r="I46" s="18" t="str">
        <x:v>TC-S2-05-01</x:v>
      </x:c>
    </x:row>
    <x:row r="47" ht="61" customHeight="1">
      <x:c r="A47" s="18" t="str">
        <x:v>S2-05-AC02</x:v>
      </x:c>
      <x:c r="B47" s="18" t="str">
        <x:v>S2-05</x:v>
      </x:c>
      <x:c r="C47" s="18" t="n">
        <x:v>2</x:v>
      </x:c>
      <x:c r="D47" s="18" t="str">
        <x:v>EP-02</x:v>
      </x:c>
      <x:c r="E47" s="18" t="str">
        <x:v>Trưởng phòng Nhân sự</x:v>
      </x:c>
      <x:c r="F47" s="18" t="n">
        <x:v>2</x:v>
      </x:c>
      <x:c r="G47" s="18" t="str">
        <x:v>Dải lương dùng làm hạn mức duyệt offer về sau</x:v>
      </x:c>
      <x:c r="H47" s="18" t="str">
        <x:v>4. Product Backlog!F23</x:v>
      </x:c>
      <x:c r="I47" s="18" t="str">
        <x:v>TC-S2-05-02</x:v>
      </x:c>
    </x:row>
    <x:row r="48" ht="61" customHeight="1">
      <x:c r="A48" s="18" t="str">
        <x:v>S2-05-AC03</x:v>
      </x:c>
      <x:c r="B48" s="18" t="str">
        <x:v>S2-05</x:v>
      </x:c>
      <x:c r="C48" s="18" t="n">
        <x:v>2</x:v>
      </x:c>
      <x:c r="D48" s="18" t="str">
        <x:v>EP-02</x:v>
      </x:c>
      <x:c r="E48" s="18" t="str">
        <x:v>Trưởng phòng Nhân sự</x:v>
      </x:c>
      <x:c r="F48" s="18" t="n">
        <x:v>3</x:v>
      </x:c>
      <x:c r="G48" s="18" t="str">
        <x:v>Chỉ Trưởng phòng Nhân sự xem được dải lương</x:v>
      </x:c>
      <x:c r="H48" s="18" t="str">
        <x:v>4. Product Backlog!F23</x:v>
      </x:c>
      <x:c r="I48" s="18" t="str">
        <x:v>TC-S2-05-03</x:v>
      </x:c>
    </x:row>
    <x:row r="49" ht="61" customHeight="1">
      <x:c r="A49" s="18" t="str">
        <x:v>S2-06-AC01</x:v>
      </x:c>
      <x:c r="B49" s="18" t="str">
        <x:v>S2-06</x:v>
      </x:c>
      <x:c r="C49" s="18" t="n">
        <x:v>2</x:v>
      </x:c>
      <x:c r="D49" s="18" t="str">
        <x:v>EP-02</x:v>
      </x:c>
      <x:c r="E49" s="18" t="str">
        <x:v>Trưởng phòng Nhân sự</x:v>
      </x:c>
      <x:c r="F49" s="18" t="n">
        <x:v>1</x:v>
      </x:c>
      <x:c r="G49" s="18" t="str">
        <x:v>Mỗi chức danh gắn với một bộ tiêu chí đánh giá, mỗi tiêu chí có trọng số</x:v>
      </x:c>
      <x:c r="H49" s="18" t="str">
        <x:v>4. Product Backlog!F24</x:v>
      </x:c>
      <x:c r="I49" s="18" t="str">
        <x:v>TC-S2-06-01</x:v>
      </x:c>
    </x:row>
    <x:row r="50" ht="61" customHeight="1">
      <x:c r="A50" s="18" t="str">
        <x:v>S2-06-AC02</x:v>
      </x:c>
      <x:c r="B50" s="18" t="str">
        <x:v>S2-06</x:v>
      </x:c>
      <x:c r="C50" s="18" t="n">
        <x:v>2</x:v>
      </x:c>
      <x:c r="D50" s="18" t="str">
        <x:v>EP-02</x:v>
      </x:c>
      <x:c r="E50" s="18" t="str">
        <x:v>Trưởng phòng Nhân sự</x:v>
      </x:c>
      <x:c r="F50" s="18" t="n">
        <x:v>2</x:v>
      </x:c>
      <x:c r="G50" s="18" t="str">
        <x:v>Tổng trọng số của một khung bằng 100%</x:v>
      </x:c>
      <x:c r="H50" s="18" t="str">
        <x:v>4. Product Backlog!F24</x:v>
      </x:c>
      <x:c r="I50" s="18" t="str">
        <x:v>TC-S2-06-02</x:v>
      </x:c>
    </x:row>
    <x:row r="51" ht="61" customHeight="1">
      <x:c r="A51" s="18" t="str">
        <x:v>S2-06-AC03</x:v>
      </x:c>
      <x:c r="B51" s="18" t="str">
        <x:v>S2-06</x:v>
      </x:c>
      <x:c r="C51" s="18" t="n">
        <x:v>2</x:v>
      </x:c>
      <x:c r="D51" s="18" t="str">
        <x:v>EP-02</x:v>
      </x:c>
      <x:c r="E51" s="18" t="str">
        <x:v>Trưởng phòng Nhân sự</x:v>
      </x:c>
      <x:c r="F51" s="18" t="n">
        <x:v>3</x:v>
      </x:c>
      <x:c r="G51" s="18" t="str">
        <x:v>Khung năng lực dùng lại được cho nhiều chức danh</x:v>
      </x:c>
      <x:c r="H51" s="18" t="str">
        <x:v>4. Product Backlog!F24</x:v>
      </x:c>
      <x:c r="I51" s="18" t="str">
        <x:v>TC-S2-06-03</x:v>
      </x:c>
    </x:row>
    <x:row r="52" ht="61" customHeight="1">
      <x:c r="A52" s="18" t="str">
        <x:v>S2-06-AC04</x:v>
      </x:c>
      <x:c r="B52" s="18" t="str">
        <x:v>S2-06</x:v>
      </x:c>
      <x:c r="C52" s="18" t="n">
        <x:v>2</x:v>
      </x:c>
      <x:c r="D52" s="18" t="str">
        <x:v>EP-02</x:v>
      </x:c>
      <x:c r="E52" s="18" t="str">
        <x:v>Trưởng phòng Nhân sự</x:v>
      </x:c>
      <x:c r="F52" s="18" t="n">
        <x:v>4</x:v>
      </x:c>
      <x:c r="G52" s="18" t="str">
        <x:v>Đây chính là bộ tiêu chí sinh ra phiếu đánh giá phỏng vấn ở Sprint 6</x:v>
      </x:c>
      <x:c r="H52" s="18" t="str">
        <x:v>4. Product Backlog!F24</x:v>
      </x:c>
      <x:c r="I52" s="18" t="str">
        <x:v>TC-S2-06-04</x:v>
      </x:c>
    </x:row>
    <x:row r="53" ht="61" customHeight="1">
      <x:c r="A53" s="18" t="str">
        <x:v>S2-07-AC01</x:v>
      </x:c>
      <x:c r="B53" s="18" t="str">
        <x:v>S2-07</x:v>
      </x:c>
      <x:c r="C53" s="18" t="n">
        <x:v>2</x:v>
      </x:c>
      <x:c r="D53" s="18" t="str">
        <x:v>EP-02</x:v>
      </x:c>
      <x:c r="E53" s="18" t="str">
        <x:v>Trưởng phòng Nhân sự</x:v>
      </x:c>
      <x:c r="F53" s="18" t="n">
        <x:v>1</x:v>
      </x:c>
      <x:c r="G53" s="18" t="str">
        <x:v>Mỗi câu hỏi gắn với một tiêu chí trong khung năng lực</x:v>
      </x:c>
      <x:c r="H53" s="18" t="str">
        <x:v>4. Product Backlog!F25</x:v>
      </x:c>
      <x:c r="I53" s="18" t="str">
        <x:v>TC-S2-07-01</x:v>
      </x:c>
    </x:row>
    <x:row r="54" ht="61" customHeight="1">
      <x:c r="A54" s="18" t="str">
        <x:v>S2-07-AC02</x:v>
      </x:c>
      <x:c r="B54" s="18" t="str">
        <x:v>S2-07</x:v>
      </x:c>
      <x:c r="C54" s="18" t="n">
        <x:v>2</x:v>
      </x:c>
      <x:c r="D54" s="18" t="str">
        <x:v>EP-02</x:v>
      </x:c>
      <x:c r="E54" s="18" t="str">
        <x:v>Trưởng phòng Nhân sự</x:v>
      </x:c>
      <x:c r="F54" s="18" t="n">
        <x:v>2</x:v>
      </x:c>
      <x:c r="G54" s="18" t="str">
        <x:v>Câu hỏi có mức độ khó và gợi ý câu trả lời tốt</x:v>
      </x:c>
      <x:c r="H54" s="18" t="str">
        <x:v>4. Product Backlog!F25</x:v>
      </x:c>
      <x:c r="I54" s="18" t="str">
        <x:v>TC-S2-07-02</x:v>
      </x:c>
    </x:row>
    <x:row r="55" ht="61" customHeight="1">
      <x:c r="A55" s="18" t="str">
        <x:v>S2-07-AC03</x:v>
      </x:c>
      <x:c r="B55" s="18" t="str">
        <x:v>S2-07</x:v>
      </x:c>
      <x:c r="C55" s="18" t="n">
        <x:v>2</x:v>
      </x:c>
      <x:c r="D55" s="18" t="str">
        <x:v>EP-02</x:v>
      </x:c>
      <x:c r="E55" s="18" t="str">
        <x:v>Trưởng phòng Nhân sự</x:v>
      </x:c>
      <x:c r="F55" s="18" t="n">
        <x:v>3</x:v>
      </x:c>
      <x:c r="G55" s="18" t="str">
        <x:v>Tìm kiếm và lọc câu hỏi theo chức danh và tiêu chí</x:v>
      </x:c>
      <x:c r="H55" s="18" t="str">
        <x:v>4. Product Backlog!F25</x:v>
      </x:c>
      <x:c r="I55" s="18" t="str">
        <x:v>TC-S2-07-03</x:v>
      </x:c>
    </x:row>
    <x:row r="56" ht="61" customHeight="1">
      <x:c r="A56" s="18" t="str">
        <x:v>S2-08-AC01</x:v>
      </x:c>
      <x:c r="B56" s="18" t="str">
        <x:v>S2-08</x:v>
      </x:c>
      <x:c r="C56" s="18" t="n">
        <x:v>2</x:v>
      </x:c>
      <x:c r="D56" s="18" t="str">
        <x:v>EP-02</x:v>
      </x:c>
      <x:c r="E56" s="18" t="str">
        <x:v>Trưởng phòng Nhân sự</x:v>
      </x:c>
      <x:c r="F56" s="18" t="n">
        <x:v>1</x:v>
      </x:c>
      <x:c r="G56" s="18" t="str">
        <x:v>Nguồn ứng viên, lý do loại hồ sơ, địa điểm làm việc, hình thức làm việc</x:v>
      </x:c>
      <x:c r="H56" s="18" t="str">
        <x:v>4. Product Backlog!F26</x:v>
      </x:c>
      <x:c r="I56" s="18" t="str">
        <x:v>TC-S2-08-01</x:v>
      </x:c>
    </x:row>
    <x:row r="57" ht="61" customHeight="1">
      <x:c r="A57" s="18" t="str">
        <x:v>S2-08-AC02</x:v>
      </x:c>
      <x:c r="B57" s="18" t="str">
        <x:v>S2-08</x:v>
      </x:c>
      <x:c r="C57" s="18" t="n">
        <x:v>2</x:v>
      </x:c>
      <x:c r="D57" s="18" t="str">
        <x:v>EP-02</x:v>
      </x:c>
      <x:c r="E57" s="18" t="str">
        <x:v>Trưởng phòng Nhân sự</x:v>
      </x:c>
      <x:c r="F57" s="18" t="n">
        <x:v>2</x:v>
      </x:c>
      <x:c r="G57" s="18" t="str">
        <x:v>Giá trị đang được tham chiếu thì không xoá được</x:v>
      </x:c>
      <x:c r="H57" s="18" t="str">
        <x:v>4. Product Backlog!F26</x:v>
      </x:c>
      <x:c r="I57" s="18" t="str">
        <x:v>TC-S2-08-02</x:v>
      </x:c>
    </x:row>
    <x:row r="58" ht="61" customHeight="1">
      <x:c r="A58" s="18" t="str">
        <x:v>S2-08-AC03</x:v>
      </x:c>
      <x:c r="B58" s="18" t="str">
        <x:v>S2-08</x:v>
      </x:c>
      <x:c r="C58" s="18" t="n">
        <x:v>2</x:v>
      </x:c>
      <x:c r="D58" s="18" t="str">
        <x:v>EP-02</x:v>
      </x:c>
      <x:c r="E58" s="18" t="str">
        <x:v>Trưởng phòng Nhân sự</x:v>
      </x:c>
      <x:c r="F58" s="18" t="n">
        <x:v>3</x:v>
      </x:c>
      <x:c r="G58" s="18" t="str">
        <x:v>Sắp xếp được thứ tự hiển thị</x:v>
      </x:c>
      <x:c r="H58" s="18" t="str">
        <x:v>4. Product Backlog!F26</x:v>
      </x:c>
      <x:c r="I58" s="18" t="str">
        <x:v>TC-S2-08-03</x:v>
      </x:c>
    </x:row>
    <x:row r="59" ht="61" customHeight="1">
      <x:c r="A59" s="18" t="str">
        <x:v>S2-09-AC01</x:v>
      </x:c>
      <x:c r="B59" s="18" t="str">
        <x:v>S2-09</x:v>
      </x:c>
      <x:c r="C59" s="18" t="n">
        <x:v>2</x:v>
      </x:c>
      <x:c r="D59" s="18" t="str">
        <x:v>EP-04</x:v>
      </x:c>
      <x:c r="E59" s="18" t="str">
        <x:v>Trưởng phòng Nhân sự</x:v>
      </x:c>
      <x:c r="F59" s="18" t="n">
        <x:v>1</x:v>
      </x:c>
      <x:c r="G59" s="18" t="str">
        <x:v>Soạn nội dung giới thiệu, tải ảnh và logo</x:v>
      </x:c>
      <x:c r="H59" s="18" t="str">
        <x:v>4. Product Backlog!F27</x:v>
      </x:c>
      <x:c r="I59" s="18" t="str">
        <x:v>TC-S2-09-01</x:v>
      </x:c>
    </x:row>
    <x:row r="60" ht="61" customHeight="1">
      <x:c r="A60" s="18" t="str">
        <x:v>S2-09-AC02</x:v>
      </x:c>
      <x:c r="B60" s="18" t="str">
        <x:v>S2-09</x:v>
      </x:c>
      <x:c r="C60" s="18" t="n">
        <x:v>2</x:v>
      </x:c>
      <x:c r="D60" s="18" t="str">
        <x:v>EP-04</x:v>
      </x:c>
      <x:c r="E60" s="18" t="str">
        <x:v>Trưởng phòng Nhân sự</x:v>
      </x:c>
      <x:c r="F60" s="18" t="n">
        <x:v>2</x:v>
      </x:c>
      <x:c r="G60" s="18" t="str">
        <x:v>Xem trước đúng như giao diện công khai trước khi lưu</x:v>
      </x:c>
      <x:c r="H60" s="18" t="str">
        <x:v>4. Product Backlog!F27</x:v>
      </x:c>
      <x:c r="I60" s="18" t="str">
        <x:v>TC-S2-09-02</x:v>
      </x:c>
    </x:row>
    <x:row r="61" ht="61" customHeight="1">
      <x:c r="A61" s="18" t="str">
        <x:v>S2-10-AC01</x:v>
      </x:c>
      <x:c r="B61" s="18" t="str">
        <x:v>S2-10</x:v>
      </x:c>
      <x:c r="C61" s="18" t="n">
        <x:v>2</x:v>
      </x:c>
      <x:c r="D61" s="18" t="str">
        <x:v>EP-03</x:v>
      </x:c>
      <x:c r="E61" s="18" t="str">
        <x:v>Trưởng bộ phận</x:v>
      </x:c>
      <x:c r="F61" s="18" t="n">
        <x:v>1</x:v>
      </x:c>
      <x:c r="G61" s="18" t="str">
        <x:v>Khai báo chức danh, phòng ban, số lượng, lý do tuyển (thay thế hoặc tăng mới), dải lương đề xuất, ngày cần người</x:v>
      </x:c>
      <x:c r="H61" s="18" t="str">
        <x:v>4. Product Backlog!F28</x:v>
      </x:c>
      <x:c r="I61" s="18" t="str">
        <x:v>TC-S2-10-01</x:v>
      </x:c>
    </x:row>
    <x:row r="62" ht="61" customHeight="1">
      <x:c r="A62" s="18" t="str">
        <x:v>S2-10-AC02</x:v>
      </x:c>
      <x:c r="B62" s="18" t="str">
        <x:v>S2-10</x:v>
      </x:c>
      <x:c r="C62" s="18" t="n">
        <x:v>2</x:v>
      </x:c>
      <x:c r="D62" s="18" t="str">
        <x:v>EP-03</x:v>
      </x:c>
      <x:c r="E62" s="18" t="str">
        <x:v>Trưởng bộ phận</x:v>
      </x:c>
      <x:c r="F62" s="18" t="n">
        <x:v>2</x:v>
      </x:c>
      <x:c r="G62" s="18" t="str">
        <x:v>Soạn mô tả công việc và yêu cầu ứng viên, lưu nháp được</x:v>
      </x:c>
      <x:c r="H62" s="18" t="str">
        <x:v>4. Product Backlog!F28</x:v>
      </x:c>
      <x:c r="I62" s="18" t="str">
        <x:v>TC-S2-10-02</x:v>
      </x:c>
    </x:row>
    <x:row r="63" ht="61" customHeight="1">
      <x:c r="A63" s="18" t="str">
        <x:v>S2-10-AC03</x:v>
      </x:c>
      <x:c r="B63" s="18" t="str">
        <x:v>S2-10</x:v>
      </x:c>
      <x:c r="C63" s="18" t="n">
        <x:v>2</x:v>
      </x:c>
      <x:c r="D63" s="18" t="str">
        <x:v>EP-03</x:v>
      </x:c>
      <x:c r="E63" s="18" t="str">
        <x:v>Trưởng bộ phận</x:v>
      </x:c>
      <x:c r="F63" s="18" t="n">
        <x:v>3</x:v>
      </x:c>
      <x:c r="G63" s="18" t="str">
        <x:v>Dải lương đề xuất nằm ngoài dải chuẩn của chức danh thì bắt buộc nhập giải trình</x:v>
      </x:c>
      <x:c r="H63" s="18" t="str">
        <x:v>4. Product Backlog!F28</x:v>
      </x:c>
      <x:c r="I63" s="18" t="str">
        <x:v>TC-S2-10-03</x:v>
      </x:c>
    </x:row>
    <x:row r="64" ht="61" customHeight="1">
      <x:c r="A64" s="18" t="str">
        <x:v>S2-10-AC04</x:v>
      </x:c>
      <x:c r="B64" s="18" t="str">
        <x:v>S2-10</x:v>
      </x:c>
      <x:c r="C64" s="18" t="n">
        <x:v>2</x:v>
      </x:c>
      <x:c r="D64" s="18" t="str">
        <x:v>EP-03</x:v>
      </x:c>
      <x:c r="E64" s="18" t="str">
        <x:v>Trưởng bộ phận</x:v>
      </x:c>
      <x:c r="F64" s="18" t="n">
        <x:v>4</x:v>
      </x:c>
      <x:c r="G64" s="18" t="str">
        <x:v>Ngày cần người không được ở quá khứ</x:v>
      </x:c>
      <x:c r="H64" s="18" t="str">
        <x:v>4. Product Backlog!F28</x:v>
      </x:c>
      <x:c r="I64" s="18" t="str">
        <x:v>TC-S2-10-04</x:v>
      </x:c>
    </x:row>
    <x:row r="65" ht="61" customHeight="1">
      <x:c r="A65" s="18" t="str">
        <x:v>S3-01-AC01</x:v>
      </x:c>
      <x:c r="B65" s="18" t="str">
        <x:v>S3-01</x:v>
      </x:c>
      <x:c r="C65" s="18" t="n">
        <x:v>3</x:v>
      </x:c>
      <x:c r="D65" s="18" t="str">
        <x:v>EP-03</x:v>
      </x:c>
      <x:c r="E65" s="18" t="str">
        <x:v>Trưởng phòng Nhân sự</x:v>
      </x:c>
      <x:c r="F65" s="18" t="n">
        <x:v>1</x:v>
      </x:c>
      <x:c r="G65" s="18" t="str">
        <x:v>Khai báo chuỗi cấp duyệt theo phòng ban và theo mức lương đề xuất</x:v>
      </x:c>
      <x:c r="H65" s="18" t="str">
        <x:v>4. Product Backlog!F31</x:v>
      </x:c>
      <x:c r="I65" s="18" t="str">
        <x:v>TC-S3-01-01</x:v>
      </x:c>
    </x:row>
    <x:row r="66" ht="61" customHeight="1">
      <x:c r="A66" s="18" t="str">
        <x:v>S3-01-AC02</x:v>
      </x:c>
      <x:c r="B66" s="18" t="str">
        <x:v>S3-01</x:v>
      </x:c>
      <x:c r="C66" s="18" t="n">
        <x:v>3</x:v>
      </x:c>
      <x:c r="D66" s="18" t="str">
        <x:v>EP-03</x:v>
      </x:c>
      <x:c r="E66" s="18" t="str">
        <x:v>Trưởng phòng Nhân sự</x:v>
      </x:c>
      <x:c r="F66" s="18" t="n">
        <x:v>2</x:v>
      </x:c>
      <x:c r="G66" s="18" t="str">
        <x:v>Yêu cầu vượt hạn mức tự động thêm cấp duyệt cao hơn</x:v>
      </x:c>
      <x:c r="H66" s="18" t="str">
        <x:v>4. Product Backlog!F31</x:v>
      </x:c>
      <x:c r="I66" s="18" t="str">
        <x:v>TC-S3-01-02</x:v>
      </x:c>
    </x:row>
    <x:row r="67" ht="61" customHeight="1">
      <x:c r="A67" s="18" t="str">
        <x:v>S3-01-AC03</x:v>
      </x:c>
      <x:c r="B67" s="18" t="str">
        <x:v>S3-01</x:v>
      </x:c>
      <x:c r="C67" s="18" t="n">
        <x:v>3</x:v>
      </x:c>
      <x:c r="D67" s="18" t="str">
        <x:v>EP-03</x:v>
      </x:c>
      <x:c r="E67" s="18" t="str">
        <x:v>Trưởng phòng Nhân sự</x:v>
      </x:c>
      <x:c r="F67" s="18" t="n">
        <x:v>3</x:v>
      </x:c>
      <x:c r="G67" s="18" t="str">
        <x:v>Cấu hình sai (không có cấp duyệt nào khớp) bị chặn lưu</x:v>
      </x:c>
      <x:c r="H67" s="18" t="str">
        <x:v>4. Product Backlog!F31</x:v>
      </x:c>
      <x:c r="I67" s="18" t="str">
        <x:v>TC-S3-01-03</x:v>
      </x:c>
    </x:row>
    <x:row r="68" ht="61" customHeight="1">
      <x:c r="A68" s="18" t="str">
        <x:v>S3-01-AC04</x:v>
      </x:c>
      <x:c r="B68" s="18" t="str">
        <x:v>S3-01</x:v>
      </x:c>
      <x:c r="C68" s="18" t="n">
        <x:v>3</x:v>
      </x:c>
      <x:c r="D68" s="18" t="str">
        <x:v>EP-03</x:v>
      </x:c>
      <x:c r="E68" s="18" t="str">
        <x:v>Trưởng phòng Nhân sự</x:v>
      </x:c>
      <x:c r="F68" s="18" t="n">
        <x:v>4</x:v>
      </x:c>
      <x:c r="G68" s="18" t="str">
        <x:v>Luồng đang chạy không bị ảnh hưởng khi cấu hình thay đổi</x:v>
      </x:c>
      <x:c r="H68" s="18" t="str">
        <x:v>4. Product Backlog!F31</x:v>
      </x:c>
      <x:c r="I68" s="18" t="str">
        <x:v>TC-S3-01-04</x:v>
      </x:c>
    </x:row>
    <x:row r="69" ht="61" customHeight="1">
      <x:c r="A69" s="18" t="str">
        <x:v>S3-02-AC01</x:v>
      </x:c>
      <x:c r="B69" s="18" t="str">
        <x:v>S3-02</x:v>
      </x:c>
      <x:c r="C69" s="18" t="n">
        <x:v>3</x:v>
      </x:c>
      <x:c r="D69" s="18" t="str">
        <x:v>EP-03</x:v>
      </x:c>
      <x:c r="E69" s="18" t="str">
        <x:v>Người duyệt</x:v>
      </x:c>
      <x:c r="F69" s="18" t="n">
        <x:v>1</x:v>
      </x:c>
      <x:c r="G69" s="18" t="str">
        <x:v>Ba hành động: Duyệt, Từ chối, Yêu cầu bổ sung — hai hành động sau bắt buộc nhập ý kiến</x:v>
      </x:c>
      <x:c r="H69" s="18" t="str">
        <x:v>4. Product Backlog!F32</x:v>
      </x:c>
      <x:c r="I69" s="18" t="str">
        <x:v>TC-S3-02-01</x:v>
      </x:c>
    </x:row>
    <x:row r="70" ht="61" customHeight="1">
      <x:c r="A70" s="18" t="str">
        <x:v>S3-02-AC02</x:v>
      </x:c>
      <x:c r="B70" s="18" t="str">
        <x:v>S3-02</x:v>
      </x:c>
      <x:c r="C70" s="18" t="n">
        <x:v>3</x:v>
      </x:c>
      <x:c r="D70" s="18" t="str">
        <x:v>EP-03</x:v>
      </x:c>
      <x:c r="E70" s="18" t="str">
        <x:v>Người duyệt</x:v>
      </x:c>
      <x:c r="F70" s="18" t="n">
        <x:v>2</x:v>
      </x:c>
      <x:c r="G70" s="18" t="str">
        <x:v>Duyệt xong tự chuyển sang cấp kế tiếp; cấp cuối duyệt thì yêu cầu chuyển sang trạng thái Đã duyệt</x:v>
      </x:c>
      <x:c r="H70" s="18" t="str">
        <x:v>4. Product Backlog!F32</x:v>
      </x:c>
      <x:c r="I70" s="18" t="str">
        <x:v>TC-S3-02-02</x:v>
      </x:c>
    </x:row>
    <x:row r="71" ht="61" customHeight="1">
      <x:c r="A71" s="18" t="str">
        <x:v>S3-02-AC03</x:v>
      </x:c>
      <x:c r="B71" s="18" t="str">
        <x:v>S3-02</x:v>
      </x:c>
      <x:c r="C71" s="18" t="n">
        <x:v>3</x:v>
      </x:c>
      <x:c r="D71" s="18" t="str">
        <x:v>EP-03</x:v>
      </x:c>
      <x:c r="E71" s="18" t="str">
        <x:v>Người duyệt</x:v>
      </x:c>
      <x:c r="F71" s="18" t="n">
        <x:v>3</x:v>
      </x:c>
      <x:c r="G71" s="18" t="str">
        <x:v>Yêu cầu bổ sung trả hồ sơ về cho người tạo và giữ nguyên lịch sử</x:v>
      </x:c>
      <x:c r="H71" s="18" t="str">
        <x:v>4. Product Backlog!F32</x:v>
      </x:c>
      <x:c r="I71" s="18" t="str">
        <x:v>TC-S3-02-03</x:v>
      </x:c>
    </x:row>
    <x:row r="72" ht="61" customHeight="1">
      <x:c r="A72" s="18" t="str">
        <x:v>S3-03-AC01</x:v>
      </x:c>
      <x:c r="B72" s="18" t="str">
        <x:v>S3-03</x:v>
      </x:c>
      <x:c r="C72" s="18" t="n">
        <x:v>3</x:v>
      </x:c>
      <x:c r="D72" s="18" t="str">
        <x:v>EP-03</x:v>
      </x:c>
      <x:c r="E72" s="18" t="str">
        <x:v>Trưởng bộ phận</x:v>
      </x:c>
      <x:c r="F72" s="18" t="n">
        <x:v>1</x:v>
      </x:c>
      <x:c r="G72" s="18" t="str">
        <x:v>Hiển thị chuỗi cấp duyệt, cấp nào đã duyệt, đang chờ ai</x:v>
      </x:c>
      <x:c r="H72" s="18" t="str">
        <x:v>4. Product Backlog!F33</x:v>
      </x:c>
      <x:c r="I72" s="18" t="str">
        <x:v>TC-S3-03-01</x:v>
      </x:c>
    </x:row>
    <x:row r="73" ht="61" customHeight="1">
      <x:c r="A73" s="18" t="str">
        <x:v>S3-03-AC02</x:v>
      </x:c>
      <x:c r="B73" s="18" t="str">
        <x:v>S3-03</x:v>
      </x:c>
      <x:c r="C73" s="18" t="n">
        <x:v>3</x:v>
      </x:c>
      <x:c r="D73" s="18" t="str">
        <x:v>EP-03</x:v>
      </x:c>
      <x:c r="E73" s="18" t="str">
        <x:v>Trưởng bộ phận</x:v>
      </x:c>
      <x:c r="F73" s="18" t="n">
        <x:v>2</x:v>
      </x:c>
      <x:c r="G73" s="18" t="str">
        <x:v>Mỗi bước ghi người duyệt, thời điểm, ý kiến</x:v>
      </x:c>
      <x:c r="H73" s="18" t="str">
        <x:v>4. Product Backlog!F33</x:v>
      </x:c>
      <x:c r="I73" s="18" t="str">
        <x:v>TC-S3-03-02</x:v>
      </x:c>
    </x:row>
    <x:row r="74" ht="61" customHeight="1">
      <x:c r="A74" s="18" t="str">
        <x:v>S3-03-AC03</x:v>
      </x:c>
      <x:c r="B74" s="18" t="str">
        <x:v>S3-03</x:v>
      </x:c>
      <x:c r="C74" s="18" t="n">
        <x:v>3</x:v>
      </x:c>
      <x:c r="D74" s="18" t="str">
        <x:v>EP-03</x:v>
      </x:c>
      <x:c r="E74" s="18" t="str">
        <x:v>Trưởng bộ phận</x:v>
      </x:c>
      <x:c r="F74" s="18" t="n">
        <x:v>3</x:v>
      </x:c>
      <x:c r="G74" s="18" t="str">
        <x:v>Lịch sử không sửa và không xoá được</x:v>
      </x:c>
      <x:c r="H74" s="18" t="str">
        <x:v>4. Product Backlog!F33</x:v>
      </x:c>
      <x:c r="I74" s="18" t="str">
        <x:v>TC-S3-03-03</x:v>
      </x:c>
    </x:row>
    <x:row r="75" ht="61" customHeight="1">
      <x:c r="A75" s="18" t="str">
        <x:v>S3-04-AC01</x:v>
      </x:c>
      <x:c r="B75" s="18" t="str">
        <x:v>S3-04</x:v>
      </x:c>
      <x:c r="C75" s="18" t="n">
        <x:v>3</x:v>
      </x:c>
      <x:c r="D75" s="18" t="str">
        <x:v>EP-03</x:v>
      </x:c>
      <x:c r="E75" s="18" t="str">
        <x:v>Trưởng phòng Nhân sự</x:v>
      </x:c>
      <x:c r="F75" s="18" t="n">
        <x:v>1</x:v>
      </x:c>
      <x:c r="G75" s="18" t="str">
        <x:v>Khai báo chỉ tiêu headcount và ngân sách lương theo phòng ban theo năm</x:v>
      </x:c>
      <x:c r="H75" s="18" t="str">
        <x:v>4. Product Backlog!F34</x:v>
      </x:c>
      <x:c r="I75" s="18" t="str">
        <x:v>TC-S3-04-01</x:v>
      </x:c>
    </x:row>
    <x:row r="76" ht="61" customHeight="1">
      <x:c r="A76" s="18" t="str">
        <x:v>S3-04-AC02</x:v>
      </x:c>
      <x:c r="B76" s="18" t="str">
        <x:v>S3-04</x:v>
      </x:c>
      <x:c r="C76" s="18" t="n">
        <x:v>3</x:v>
      </x:c>
      <x:c r="D76" s="18" t="str">
        <x:v>EP-03</x:v>
      </x:c>
      <x:c r="E76" s="18" t="str">
        <x:v>Trưởng phòng Nhân sự</x:v>
      </x:c>
      <x:c r="F76" s="18" t="n">
        <x:v>2</x:v>
      </x:c>
      <x:c r="G76" s="18" t="str">
        <x:v>Yêu cầu tuyển dụng mới hiển thị số headcount còn lại của phòng ban</x:v>
      </x:c>
      <x:c r="H76" s="18" t="str">
        <x:v>4. Product Backlog!F34</x:v>
      </x:c>
      <x:c r="I76" s="18" t="str">
        <x:v>TC-S3-04-02</x:v>
      </x:c>
    </x:row>
    <x:row r="77" ht="61" customHeight="1">
      <x:c r="A77" s="18" t="str">
        <x:v>S3-04-AC03</x:v>
      </x:c>
      <x:c r="B77" s="18" t="str">
        <x:v>S3-04</x:v>
      </x:c>
      <x:c r="C77" s="18" t="n">
        <x:v>3</x:v>
      </x:c>
      <x:c r="D77" s="18" t="str">
        <x:v>EP-03</x:v>
      </x:c>
      <x:c r="E77" s="18" t="str">
        <x:v>Trưởng phòng Nhân sự</x:v>
      </x:c>
      <x:c r="F77" s="18" t="n">
        <x:v>3</x:v>
      </x:c>
      <x:c r="G77" s="18" t="str">
        <x:v>Vượt chỉ tiêu là cảnh báo chặn, cần Trưởng phòng Nhân sự xác nhận ghi đè kèm lý do</x:v>
      </x:c>
      <x:c r="H77" s="18" t="str">
        <x:v>4. Product Backlog!F34</x:v>
      </x:c>
      <x:c r="I77" s="18" t="str">
        <x:v>TC-S3-04-03</x:v>
      </x:c>
    </x:row>
    <x:row r="78" ht="61" customHeight="1">
      <x:c r="A78" s="18" t="str">
        <x:v>S3-05-AC01</x:v>
      </x:c>
      <x:c r="B78" s="18" t="str">
        <x:v>S3-05</x:v>
      </x:c>
      <x:c r="C78" s="18" t="n">
        <x:v>3</x:v>
      </x:c>
      <x:c r="D78" s="18" t="str">
        <x:v>EP-03</x:v>
      </x:c>
      <x:c r="E78" s="18" t="str">
        <x:v>Trưởng bộ phận</x:v>
      </x:c>
      <x:c r="F78" s="18" t="n">
        <x:v>1</x:v>
      </x:c>
      <x:c r="G78" s="18" t="str">
        <x:v>Sao chép toàn bộ mô tả công việc và yêu cầu ứng viên</x:v>
      </x:c>
      <x:c r="H78" s="18" t="str">
        <x:v>4. Product Backlog!F35</x:v>
      </x:c>
      <x:c r="I78" s="18" t="str">
        <x:v>TC-S3-05-01</x:v>
      </x:c>
    </x:row>
    <x:row r="79" ht="61" customHeight="1">
      <x:c r="A79" s="18" t="str">
        <x:v>S3-05-AC02</x:v>
      </x:c>
      <x:c r="B79" s="18" t="str">
        <x:v>S3-05</x:v>
      </x:c>
      <x:c r="C79" s="18" t="n">
        <x:v>3</x:v>
      </x:c>
      <x:c r="D79" s="18" t="str">
        <x:v>EP-03</x:v>
      </x:c>
      <x:c r="E79" s="18" t="str">
        <x:v>Trưởng bộ phận</x:v>
      </x:c>
      <x:c r="F79" s="18" t="n">
        <x:v>2</x:v>
      </x:c>
      <x:c r="G79" s="18" t="str">
        <x:v>Bản sao luôn bắt đầu ở trạng thái Nháp, không kế thừa lịch sử duyệt</x:v>
      </x:c>
      <x:c r="H79" s="18" t="str">
        <x:v>4. Product Backlog!F35</x:v>
      </x:c>
      <x:c r="I79" s="18" t="str">
        <x:v>TC-S3-05-02</x:v>
      </x:c>
    </x:row>
    <x:row r="80" ht="61" customHeight="1">
      <x:c r="A80" s="18" t="str">
        <x:v>S3-06-AC01</x:v>
      </x:c>
      <x:c r="B80" s="18" t="str">
        <x:v>S3-06</x:v>
      </x:c>
      <x:c r="C80" s="18" t="n">
        <x:v>3</x:v>
      </x:c>
      <x:c r="D80" s="18" t="str">
        <x:v>EP-03</x:v>
      </x:c>
      <x:c r="E80" s="18" t="str">
        <x:v>Trưởng phòng Nhân sự</x:v>
      </x:c>
      <x:c r="F80" s="18" t="n">
        <x:v>1</x:v>
      </x:c>
      <x:c r="G80" s="18" t="str">
        <x:v>Phân công một recruiter chính và nhiều recruiter hỗ trợ</x:v>
      </x:c>
      <x:c r="H80" s="18" t="str">
        <x:v>4. Product Backlog!F36</x:v>
      </x:c>
      <x:c r="I80" s="18" t="str">
        <x:v>TC-S3-06-01</x:v>
      </x:c>
    </x:row>
    <x:row r="81" ht="61" customHeight="1">
      <x:c r="A81" s="18" t="str">
        <x:v>S3-06-AC02</x:v>
      </x:c>
      <x:c r="B81" s="18" t="str">
        <x:v>S3-06</x:v>
      </x:c>
      <x:c r="C81" s="18" t="n">
        <x:v>3</x:v>
      </x:c>
      <x:c r="D81" s="18" t="str">
        <x:v>EP-03</x:v>
      </x:c>
      <x:c r="E81" s="18" t="str">
        <x:v>Trưởng phòng Nhân sự</x:v>
      </x:c>
      <x:c r="F81" s="18" t="n">
        <x:v>2</x:v>
      </x:c>
      <x:c r="G81" s="18" t="str">
        <x:v>Recruiter chỉ nhìn thấy ứng viên của vị trí được giao</x:v>
      </x:c>
      <x:c r="H81" s="18" t="str">
        <x:v>4. Product Backlog!F36</x:v>
      </x:c>
      <x:c r="I81" s="18" t="str">
        <x:v>TC-S3-06-02</x:v>
      </x:c>
    </x:row>
    <x:row r="82" ht="61" customHeight="1">
      <x:c r="A82" s="18" t="str">
        <x:v>S3-06-AC03</x:v>
      </x:c>
      <x:c r="B82" s="18" t="str">
        <x:v>S3-06</x:v>
      </x:c>
      <x:c r="C82" s="18" t="n">
        <x:v>3</x:v>
      </x:c>
      <x:c r="D82" s="18" t="str">
        <x:v>EP-03</x:v>
      </x:c>
      <x:c r="E82" s="18" t="str">
        <x:v>Trưởng phòng Nhân sự</x:v>
      </x:c>
      <x:c r="F82" s="18" t="n">
        <x:v>3</x:v>
      </x:c>
      <x:c r="G82" s="18" t="str">
        <x:v>Có ghi lịch sử chuyển giao khi đổi người phụ trách</x:v>
      </x:c>
      <x:c r="H82" s="18" t="str">
        <x:v>4. Product Backlog!F36</x:v>
      </x:c>
      <x:c r="I82" s="18" t="str">
        <x:v>TC-S3-06-03</x:v>
      </x:c>
    </x:row>
    <x:row r="83" ht="61" customHeight="1">
      <x:c r="A83" s="18" t="str">
        <x:v>S3-07-AC01</x:v>
      </x:c>
      <x:c r="B83" s="18" t="str">
        <x:v>S3-07</x:v>
      </x:c>
      <x:c r="C83" s="18" t="n">
        <x:v>3</x:v>
      </x:c>
      <x:c r="D83" s="18" t="str">
        <x:v>EP-03</x:v>
      </x:c>
      <x:c r="E83" s="18" t="str">
        <x:v>Trưởng phòng Nhân sự</x:v>
      </x:c>
      <x:c r="F83" s="18" t="n">
        <x:v>1</x:v>
      </x:c>
      <x:c r="G83" s="18" t="str">
        <x:v>Ba trạng thái kết thúc có lý do riêng: Đã tuyển đủ, Tạm dừng, Huỷ</x:v>
      </x:c>
      <x:c r="H83" s="18" t="str">
        <x:v>4. Product Backlog!F37</x:v>
      </x:c>
      <x:c r="I83" s="18" t="str">
        <x:v>TC-S3-07-01</x:v>
      </x:c>
    </x:row>
    <x:row r="84" ht="61" customHeight="1">
      <x:c r="A84" s="18" t="str">
        <x:v>S3-07-AC02</x:v>
      </x:c>
      <x:c r="B84" s="18" t="str">
        <x:v>S3-07</x:v>
      </x:c>
      <x:c r="C84" s="18" t="n">
        <x:v>3</x:v>
      </x:c>
      <x:c r="D84" s="18" t="str">
        <x:v>EP-03</x:v>
      </x:c>
      <x:c r="E84" s="18" t="str">
        <x:v>Trưởng phòng Nhân sự</x:v>
      </x:c>
      <x:c r="F84" s="18" t="n">
        <x:v>2</x:v>
      </x:c>
      <x:c r="G84" s="18" t="str">
        <x:v>Đóng yêu cầu tự động gỡ tin tuyển dụng đang đăng</x:v>
      </x:c>
      <x:c r="H84" s="18" t="str">
        <x:v>4. Product Backlog!F37</x:v>
      </x:c>
      <x:c r="I84" s="18" t="str">
        <x:v>TC-S3-07-02</x:v>
      </x:c>
    </x:row>
    <x:row r="85" ht="61" customHeight="1">
      <x:c r="A85" s="18" t="str">
        <x:v>S3-07-AC03</x:v>
      </x:c>
      <x:c r="B85" s="18" t="str">
        <x:v>S3-07</x:v>
      </x:c>
      <x:c r="C85" s="18" t="n">
        <x:v>3</x:v>
      </x:c>
      <x:c r="D85" s="18" t="str">
        <x:v>EP-03</x:v>
      </x:c>
      <x:c r="E85" s="18" t="str">
        <x:v>Trưởng phòng Nhân sự</x:v>
      </x:c>
      <x:c r="F85" s="18" t="n">
        <x:v>3</x:v>
      </x:c>
      <x:c r="G85" s="18" t="str">
        <x:v>Ứng viên còn đang trong pipeline được cảnh báo cần xử lý trước khi đóng</x:v>
      </x:c>
      <x:c r="H85" s="18" t="str">
        <x:v>4. Product Backlog!F37</x:v>
      </x:c>
      <x:c r="I85" s="18" t="str">
        <x:v>TC-S3-07-03</x:v>
      </x:c>
    </x:row>
    <x:row r="86" ht="61" customHeight="1">
      <x:c r="A86" s="18" t="str">
        <x:v>S3-08-AC01</x:v>
      </x:c>
      <x:c r="B86" s="18" t="str">
        <x:v>S3-08</x:v>
      </x:c>
      <x:c r="C86" s="18" t="n">
        <x:v>3</x:v>
      </x:c>
      <x:c r="D86" s="18" t="str">
        <x:v>EP-03</x:v>
      </x:c>
      <x:c r="E86" s="18" t="str">
        <x:v>Trưởng phòng Nhân sự</x:v>
      </x:c>
      <x:c r="F86" s="18" t="n">
        <x:v>1</x:v>
      </x:c>
      <x:c r="G86" s="18" t="str">
        <x:v>Lọc theo trạng thái, phòng ban, recruiter phụ trách, khoảng thời gian</x:v>
      </x:c>
      <x:c r="H86" s="18" t="str">
        <x:v>4. Product Backlog!F38</x:v>
      </x:c>
      <x:c r="I86" s="18" t="str">
        <x:v>TC-S3-08-01</x:v>
      </x:c>
    </x:row>
    <x:row r="87" ht="61" customHeight="1">
      <x:c r="A87" s="18" t="str">
        <x:v>S3-08-AC02</x:v>
      </x:c>
      <x:c r="B87" s="18" t="str">
        <x:v>S3-08</x:v>
      </x:c>
      <x:c r="C87" s="18" t="n">
        <x:v>3</x:v>
      </x:c>
      <x:c r="D87" s="18" t="str">
        <x:v>EP-03</x:v>
      </x:c>
      <x:c r="E87" s="18" t="str">
        <x:v>Trưởng phòng Nhân sự</x:v>
      </x:c>
      <x:c r="F87" s="18" t="n">
        <x:v>2</x:v>
      </x:c>
      <x:c r="G87" s="18" t="str">
        <x:v>Mỗi dòng hiển thị số ngày mở và số ngày còn lại tới ngày cần người</x:v>
      </x:c>
      <x:c r="H87" s="18" t="str">
        <x:v>4. Product Backlog!F38</x:v>
      </x:c>
      <x:c r="I87" s="18" t="str">
        <x:v>TC-S3-08-02</x:v>
      </x:c>
    </x:row>
    <x:row r="88" ht="61" customHeight="1">
      <x:c r="A88" s="18" t="str">
        <x:v>S3-08-AC03</x:v>
      </x:c>
      <x:c r="B88" s="18" t="str">
        <x:v>S3-08</x:v>
      </x:c>
      <x:c r="C88" s="18" t="n">
        <x:v>3</x:v>
      </x:c>
      <x:c r="D88" s="18" t="str">
        <x:v>EP-03</x:v>
      </x:c>
      <x:c r="E88" s="18" t="str">
        <x:v>Trưởng phòng Nhân sự</x:v>
      </x:c>
      <x:c r="F88" s="18" t="n">
        <x:v>3</x:v>
      </x:c>
      <x:c r="G88" s="18" t="str">
        <x:v>Yêu cầu quá ngày cần người được đánh dấu nổi bật</x:v>
      </x:c>
      <x:c r="H88" s="18" t="str">
        <x:v>4. Product Backlog!F38</x:v>
      </x:c>
      <x:c r="I88" s="18" t="str">
        <x:v>TC-S3-08-03</x:v>
      </x:c>
    </x:row>
    <x:row r="89" ht="61" customHeight="1">
      <x:c r="A89" s="18" t="str">
        <x:v>S3-09-AC01</x:v>
      </x:c>
      <x:c r="B89" s="18" t="str">
        <x:v>S3-09</x:v>
      </x:c>
      <x:c r="C89" s="18" t="n">
        <x:v>3</x:v>
      </x:c>
      <x:c r="D89" s="18" t="str">
        <x:v>EP-04</x:v>
      </x:c>
      <x:c r="E89" s="18" t="str">
        <x:v>Nhân viên tuyển dụng</x:v>
      </x:c>
      <x:c r="F89" s="18" t="n">
        <x:v>1</x:v>
      </x:c>
      <x:c r="G89" s="18" t="str">
        <x:v>Nội dung mô tả công việc được kế thừa từ yêu cầu, sửa lại được cho phù hợp ngôn ngữ tuyển dụng</x:v>
      </x:c>
      <x:c r="H89" s="18" t="str">
        <x:v>4. Product Backlog!F39</x:v>
      </x:c>
      <x:c r="I89" s="18" t="str">
        <x:v>TC-S3-09-01</x:v>
      </x:c>
    </x:row>
    <x:row r="90" ht="61" customHeight="1">
      <x:c r="A90" s="18" t="str">
        <x:v>S3-09-AC02</x:v>
      </x:c>
      <x:c r="B90" s="18" t="str">
        <x:v>S3-09</x:v>
      </x:c>
      <x:c r="C90" s="18" t="n">
        <x:v>3</x:v>
      </x:c>
      <x:c r="D90" s="18" t="str">
        <x:v>EP-04</x:v>
      </x:c>
      <x:c r="E90" s="18" t="str">
        <x:v>Nhân viên tuyển dụng</x:v>
      </x:c>
      <x:c r="F90" s="18" t="n">
        <x:v>2</x:v>
      </x:c>
      <x:c r="G90" s="18" t="str">
        <x:v>Khai báo địa điểm, hình thức làm việc, hạn nhận hồ sơ, có hiển thị mức lương hay không</x:v>
      </x:c>
      <x:c r="H90" s="18" t="str">
        <x:v>4. Product Backlog!F39</x:v>
      </x:c>
      <x:c r="I90" s="18" t="str">
        <x:v>TC-S3-09-02</x:v>
      </x:c>
    </x:row>
    <x:row r="91" ht="61" customHeight="1">
      <x:c r="A91" s="18" t="str">
        <x:v>S3-09-AC03</x:v>
      </x:c>
      <x:c r="B91" s="18" t="str">
        <x:v>S3-09</x:v>
      </x:c>
      <x:c r="C91" s="18" t="n">
        <x:v>3</x:v>
      </x:c>
      <x:c r="D91" s="18" t="str">
        <x:v>EP-04</x:v>
      </x:c>
      <x:c r="E91" s="18" t="str">
        <x:v>Nhân viên tuyển dụng</x:v>
      </x:c>
      <x:c r="F91" s="18" t="n">
        <x:v>3</x:v>
      </x:c>
      <x:c r="G91" s="18" t="str">
        <x:v>Chỉ yêu cầu ở trạng thái Đã duyệt mới tạo được tin</x:v>
      </x:c>
      <x:c r="H91" s="18" t="str">
        <x:v>4. Product Backlog!F39</x:v>
      </x:c>
      <x:c r="I91" s="18" t="str">
        <x:v>TC-S3-09-03</x:v>
      </x:c>
    </x:row>
    <x:row r="92" ht="61" customHeight="1">
      <x:c r="A92" s="18" t="str">
        <x:v>S3-10-AC01</x:v>
      </x:c>
      <x:c r="B92" s="18" t="str">
        <x:v>S3-10</x:v>
      </x:c>
      <x:c r="C92" s="18" t="n">
        <x:v>3</x:v>
      </x:c>
      <x:c r="D92" s="18" t="str">
        <x:v>EP-04</x:v>
      </x:c>
      <x:c r="E92" s="18" t="str">
        <x:v>Trưởng phòng Nhân sự</x:v>
      </x:c>
      <x:c r="F92" s="18" t="n">
        <x:v>1</x:v>
      </x:c>
      <x:c r="G92" s="18" t="str">
        <x:v>Tin phải qua duyệt trước khi hiển thị công khai</x:v>
      </x:c>
      <x:c r="H92" s="18" t="str">
        <x:v>4. Product Backlog!F40</x:v>
      </x:c>
      <x:c r="I92" s="18" t="str">
        <x:v>TC-S3-10-01</x:v>
      </x:c>
    </x:row>
    <x:row r="93" ht="61" customHeight="1">
      <x:c r="A93" s="18" t="str">
        <x:v>S3-10-AC02</x:v>
      </x:c>
      <x:c r="B93" s="18" t="str">
        <x:v>S3-10</x:v>
      </x:c>
      <x:c r="C93" s="18" t="n">
        <x:v>3</x:v>
      </x:c>
      <x:c r="D93" s="18" t="str">
        <x:v>EP-04</x:v>
      </x:c>
      <x:c r="E93" s="18" t="str">
        <x:v>Trưởng phòng Nhân sự</x:v>
      </x:c>
      <x:c r="F93" s="18" t="n">
        <x:v>2</x:v>
      </x:c>
      <x:c r="G93" s="18" t="str">
        <x:v>Xem trước đúng như giao diện công khai trước khi xuất bản</x:v>
      </x:c>
      <x:c r="H93" s="18" t="str">
        <x:v>4. Product Backlog!F40</x:v>
      </x:c>
      <x:c r="I93" s="18" t="str">
        <x:v>TC-S3-10-02</x:v>
      </x:c>
    </x:row>
    <x:row r="94" ht="61" customHeight="1">
      <x:c r="A94" s="18" t="str">
        <x:v>S3-10-AC03</x:v>
      </x:c>
      <x:c r="B94" s="18" t="str">
        <x:v>S3-10</x:v>
      </x:c>
      <x:c r="C94" s="18" t="n">
        <x:v>3</x:v>
      </x:c>
      <x:c r="D94" s="18" t="str">
        <x:v>EP-04</x:v>
      </x:c>
      <x:c r="E94" s="18" t="str">
        <x:v>Trưởng phòng Nhân sự</x:v>
      </x:c>
      <x:c r="F94" s="18" t="n">
        <x:v>3</x:v>
      </x:c>
      <x:c r="G94" s="18" t="str">
        <x:v>Ghi lại người xuất bản và thời điểm</x:v>
      </x:c>
      <x:c r="H94" s="18" t="str">
        <x:v>4. Product Backlog!F40</x:v>
      </x:c>
      <x:c r="I94" s="18" t="str">
        <x:v>TC-S3-10-03</x:v>
      </x:c>
    </x:row>
    <x:row r="95" ht="61" customHeight="1">
      <x:c r="A95" s="18" t="str">
        <x:v>S4-01-AC01</x:v>
      </x:c>
      <x:c r="B95" s="18" t="str">
        <x:v>S4-01</x:v>
      </x:c>
      <x:c r="C95" s="18" t="n">
        <x:v>4</x:v>
      </x:c>
      <x:c r="D95" s="18" t="str">
        <x:v>EP-04</x:v>
      </x:c>
      <x:c r="E95" s="18" t="str">
        <x:v>Ứng viên</x:v>
      </x:c>
      <x:c r="F95" s="18" t="n">
        <x:v>1</x:v>
      </x:c>
      <x:c r="G95" s="18" t="str">
        <x:v>Không cần đăng nhập</x:v>
      </x:c>
      <x:c r="H95" s="18" t="str">
        <x:v>4. Product Backlog!F43</x:v>
      </x:c>
      <x:c r="I95" s="18" t="str">
        <x:v>TC-S4-01-01</x:v>
      </x:c>
    </x:row>
    <x:row r="96" ht="61" customHeight="1">
      <x:c r="A96" s="18" t="str">
        <x:v>S4-01-AC02</x:v>
      </x:c>
      <x:c r="B96" s="18" t="str">
        <x:v>S4-01</x:v>
      </x:c>
      <x:c r="C96" s="18" t="n">
        <x:v>4</x:v>
      </x:c>
      <x:c r="D96" s="18" t="str">
        <x:v>EP-04</x:v>
      </x:c>
      <x:c r="E96" s="18" t="str">
        <x:v>Ứng viên</x:v>
      </x:c>
      <x:c r="F96" s="18" t="n">
        <x:v>2</x:v>
      </x:c>
      <x:c r="G96" s="18" t="str">
        <x:v>Lọc theo phòng ban, địa điểm, hình thức làm việc</x:v>
      </x:c>
      <x:c r="H96" s="18" t="str">
        <x:v>4. Product Backlog!F43</x:v>
      </x:c>
      <x:c r="I96" s="18" t="str">
        <x:v>TC-S4-01-02</x:v>
      </x:c>
    </x:row>
    <x:row r="97" ht="61" customHeight="1">
      <x:c r="A97" s="18" t="str">
        <x:v>S4-01-AC03</x:v>
      </x:c>
      <x:c r="B97" s="18" t="str">
        <x:v>S4-01</x:v>
      </x:c>
      <x:c r="C97" s="18" t="n">
        <x:v>4</x:v>
      </x:c>
      <x:c r="D97" s="18" t="str">
        <x:v>EP-04</x:v>
      </x:c>
      <x:c r="E97" s="18" t="str">
        <x:v>Ứng viên</x:v>
      </x:c>
      <x:c r="F97" s="18" t="n">
        <x:v>3</x:v>
      </x:c>
      <x:c r="G97" s="18" t="str">
        <x:v>Tìm kiếm theo từ khoá trong tiêu đề và mô tả</x:v>
      </x:c>
      <x:c r="H97" s="18" t="str">
        <x:v>4. Product Backlog!F43</x:v>
      </x:c>
      <x:c r="I97" s="18" t="str">
        <x:v>TC-S4-01-03</x:v>
      </x:c>
    </x:row>
    <x:row r="98" ht="61" customHeight="1">
      <x:c r="A98" s="18" t="str">
        <x:v>S4-01-AC04</x:v>
      </x:c>
      <x:c r="B98" s="18" t="str">
        <x:v>S4-01</x:v>
      </x:c>
      <x:c r="C98" s="18" t="n">
        <x:v>4</x:v>
      </x:c>
      <x:c r="D98" s="18" t="str">
        <x:v>EP-04</x:v>
      </x:c>
      <x:c r="E98" s="18" t="str">
        <x:v>Ứng viên</x:v>
      </x:c>
      <x:c r="F98" s="18" t="n">
        <x:v>4</x:v>
      </x:c>
      <x:c r="G98" s="18" t="str">
        <x:v>Chỉ hiển thị tin đã xuất bản và còn hạn</x:v>
      </x:c>
      <x:c r="H98" s="18" t="str">
        <x:v>4. Product Backlog!F43</x:v>
      </x:c>
      <x:c r="I98" s="18" t="str">
        <x:v>TC-S4-01-04</x:v>
      </x:c>
    </x:row>
    <x:row r="99" ht="61" customHeight="1">
      <x:c r="A99" s="18" t="str">
        <x:v>S4-02-AC01</x:v>
      </x:c>
      <x:c r="B99" s="18" t="str">
        <x:v>S4-02</x:v>
      </x:c>
      <x:c r="C99" s="18" t="n">
        <x:v>4</x:v>
      </x:c>
      <x:c r="D99" s="18" t="str">
        <x:v>EP-04</x:v>
      </x:c>
      <x:c r="E99" s="18" t="str">
        <x:v>Ứng viên</x:v>
      </x:c>
      <x:c r="F99" s="18" t="n">
        <x:v>1</x:v>
      </x:c>
      <x:c r="G99" s="18" t="str">
        <x:v>Hiển thị mô tả công việc, yêu cầu, quyền lợi, hạn nộp</x:v>
      </x:c>
      <x:c r="H99" s="18" t="str">
        <x:v>4. Product Backlog!F44</x:v>
      </x:c>
      <x:c r="I99" s="18" t="str">
        <x:v>TC-S4-02-01</x:v>
      </x:c>
    </x:row>
    <x:row r="100" ht="61" customHeight="1">
      <x:c r="A100" s="18" t="str">
        <x:v>S4-02-AC02</x:v>
      </x:c>
      <x:c r="B100" s="18" t="str">
        <x:v>S4-02</x:v>
      </x:c>
      <x:c r="C100" s="18" t="n">
        <x:v>4</x:v>
      </x:c>
      <x:c r="D100" s="18" t="str">
        <x:v>EP-04</x:v>
      </x:c>
      <x:c r="E100" s="18" t="str">
        <x:v>Ứng viên</x:v>
      </x:c>
      <x:c r="F100" s="18" t="n">
        <x:v>2</x:v>
      </x:c>
      <x:c r="G100" s="18" t="str">
        <x:v>Có nút ứng tuyển nổi bật, hiển thị tốt trên điện thoại</x:v>
      </x:c>
      <x:c r="H100" s="18" t="str">
        <x:v>4. Product Backlog!F44</x:v>
      </x:c>
      <x:c r="I100" s="18" t="str">
        <x:v>TC-S4-02-02</x:v>
      </x:c>
    </x:row>
    <x:row r="101" ht="61" customHeight="1">
      <x:c r="A101" s="18" t="str">
        <x:v>S4-02-AC03</x:v>
      </x:c>
      <x:c r="B101" s="18" t="str">
        <x:v>S4-02</x:v>
      </x:c>
      <x:c r="C101" s="18" t="n">
        <x:v>4</x:v>
      </x:c>
      <x:c r="D101" s="18" t="str">
        <x:v>EP-04</x:v>
      </x:c>
      <x:c r="E101" s="18" t="str">
        <x:v>Ứng viên</x:v>
      </x:c>
      <x:c r="F101" s="18" t="n">
        <x:v>3</x:v>
      </x:c>
      <x:c r="G101" s="18" t="str">
        <x:v>Tin đã hết hạn hiển thị thông báo thay vì biểu mẫu ứng tuyển</x:v>
      </x:c>
      <x:c r="H101" s="18" t="str">
        <x:v>4. Product Backlog!F44</x:v>
      </x:c>
      <x:c r="I101" s="18" t="str">
        <x:v>TC-S4-02-03</x:v>
      </x:c>
    </x:row>
    <x:row r="102" ht="61" customHeight="1">
      <x:c r="A102" s="18" t="str">
        <x:v>S4-03-AC01</x:v>
      </x:c>
      <x:c r="B102" s="18" t="str">
        <x:v>S4-03</x:v>
      </x:c>
      <x:c r="C102" s="18" t="n">
        <x:v>4</x:v>
      </x:c>
      <x:c r="D102" s="18" t="str">
        <x:v>EP-04</x:v>
      </x:c>
      <x:c r="E102" s="18" t="str">
        <x:v>Ứng viên</x:v>
      </x:c>
      <x:c r="F102" s="18" t="n">
        <x:v>1</x:v>
      </x:c>
      <x:c r="G102" s="18" t="str">
        <x:v>Biểu mẫu gồm họ tên, email, số điện thoại, nguồn biết tin, thư giới thiệu và tệp CV</x:v>
      </x:c>
      <x:c r="H102" s="18" t="str">
        <x:v>4. Product Backlog!F45</x:v>
      </x:c>
      <x:c r="I102" s="18" t="str">
        <x:v>TC-S4-03-01</x:v>
      </x:c>
    </x:row>
    <x:row r="103" ht="61" customHeight="1">
      <x:c r="A103" s="18" t="str">
        <x:v>S4-03-AC02</x:v>
      </x:c>
      <x:c r="B103" s="18" t="str">
        <x:v>S4-03</x:v>
      </x:c>
      <x:c r="C103" s="18" t="n">
        <x:v>4</x:v>
      </x:c>
      <x:c r="D103" s="18" t="str">
        <x:v>EP-04</x:v>
      </x:c>
      <x:c r="E103" s="18" t="str">
        <x:v>Ứng viên</x:v>
      </x:c>
      <x:c r="F103" s="18" t="n">
        <x:v>2</x:v>
      </x:c>
      <x:c r="G103" s="18" t="str">
        <x:v>CV chấp nhận PDF hoặc DOCX, tối đa 10MB</x:v>
      </x:c>
      <x:c r="H103" s="18" t="str">
        <x:v>4. Product Backlog!F45</x:v>
      </x:c>
      <x:c r="I103" s="18" t="str">
        <x:v>TC-S4-03-02</x:v>
      </x:c>
    </x:row>
    <x:row r="104" ht="61" customHeight="1">
      <x:c r="A104" s="18" t="str">
        <x:v>S4-03-AC03</x:v>
      </x:c>
      <x:c r="B104" s="18" t="str">
        <x:v>S4-03</x:v>
      </x:c>
      <x:c r="C104" s="18" t="n">
        <x:v>4</x:v>
      </x:c>
      <x:c r="D104" s="18" t="str">
        <x:v>EP-04</x:v>
      </x:c>
      <x:c r="E104" s="18" t="str">
        <x:v>Ứng viên</x:v>
      </x:c>
      <x:c r="F104" s="18" t="n">
        <x:v>3</x:v>
      </x:c>
      <x:c r="G104" s="18" t="str">
        <x:v>Có chống spam và giới hạn số lần nộp từ một địa chỉ trong một giờ</x:v>
      </x:c>
      <x:c r="H104" s="18" t="str">
        <x:v>4. Product Backlog!F45</x:v>
      </x:c>
      <x:c r="I104" s="18" t="str">
        <x:v>TC-S4-03-03</x:v>
      </x:c>
    </x:row>
    <x:row r="105" ht="61" customHeight="1">
      <x:c r="A105" s="18" t="str">
        <x:v>S4-03-AC04</x:v>
      </x:c>
      <x:c r="B105" s="18" t="str">
        <x:v>S4-03</x:v>
      </x:c>
      <x:c r="C105" s="18" t="n">
        <x:v>4</x:v>
      </x:c>
      <x:c r="D105" s="18" t="str">
        <x:v>EP-04</x:v>
      </x:c>
      <x:c r="E105" s="18" t="str">
        <x:v>Ứng viên</x:v>
      </x:c>
      <x:c r="F105" s="18" t="n">
        <x:v>4</x:v>
      </x:c>
      <x:c r="G105" s="18" t="str">
        <x:v>Nộp trùng cùng một vị trí bằng cùng email bị từ chối kèm thông báo rõ ràng</x:v>
      </x:c>
      <x:c r="H105" s="18" t="str">
        <x:v>4. Product Backlog!F45</x:v>
      </x:c>
      <x:c r="I105" s="18" t="str">
        <x:v>TC-S4-03-04</x:v>
      </x:c>
    </x:row>
    <x:row r="106" ht="61" customHeight="1">
      <x:c r="A106" s="18" t="str">
        <x:v>S4-03-AC05</x:v>
      </x:c>
      <x:c r="B106" s="18" t="str">
        <x:v>S4-03</x:v>
      </x:c>
      <x:c r="C106" s="18" t="n">
        <x:v>4</x:v>
      </x:c>
      <x:c r="D106" s="18" t="str">
        <x:v>EP-04</x:v>
      </x:c>
      <x:c r="E106" s="18" t="str">
        <x:v>Ứng viên</x:v>
      </x:c>
      <x:c r="F106" s="18" t="n">
        <x:v>5</x:v>
      </x:c>
      <x:c r="G106" s="18" t="str">
        <x:v>Nộp thành công sinh mã tra cứu và gửi email xác nhận</x:v>
      </x:c>
      <x:c r="H106" s="18" t="str">
        <x:v>4. Product Backlog!F45</x:v>
      </x:c>
      <x:c r="I106" s="18" t="str">
        <x:v>TC-S4-03-05</x:v>
      </x:c>
    </x:row>
    <x:row r="107" ht="61" customHeight="1">
      <x:c r="A107" s="18" t="str">
        <x:v>S4-04-AC01</x:v>
      </x:c>
      <x:c r="B107" s="18" t="str">
        <x:v>S4-04</x:v>
      </x:c>
      <x:c r="C107" s="18" t="n">
        <x:v>4</x:v>
      </x:c>
      <x:c r="D107" s="18" t="str">
        <x:v>EP-04</x:v>
      </x:c>
      <x:c r="E107" s="18" t="str">
        <x:v>Nhân viên tuyển dụng</x:v>
      </x:c>
      <x:c r="F107" s="18" t="n">
        <x:v>1</x:v>
      </x:c>
      <x:c r="G107" s="18" t="str">
        <x:v>Hệ thống bóc tách họ tên, email, số điện thoại từ CV dạng PDF</x:v>
      </x:c>
      <x:c r="H107" s="18" t="str">
        <x:v>4. Product Backlog!F46</x:v>
      </x:c>
      <x:c r="I107" s="18" t="str">
        <x:v>TC-S4-04-01</x:v>
      </x:c>
    </x:row>
    <x:row r="108" ht="61" customHeight="1">
      <x:c r="A108" s="18" t="str">
        <x:v>S4-04-AC02</x:v>
      </x:c>
      <x:c r="B108" s="18" t="str">
        <x:v>S4-04</x:v>
      </x:c>
      <x:c r="C108" s="18" t="n">
        <x:v>4</x:v>
      </x:c>
      <x:c r="D108" s="18" t="str">
        <x:v>EP-04</x:v>
      </x:c>
      <x:c r="E108" s="18" t="str">
        <x:v>Nhân viên tuyển dụng</x:v>
      </x:c>
      <x:c r="F108" s="18" t="n">
        <x:v>2</x:v>
      </x:c>
      <x:c r="G108" s="18" t="str">
        <x:v>Kết quả bóc tách hiển thị để recruiter xác nhận hoặc sửa, không tự ghi đè</x:v>
      </x:c>
      <x:c r="H108" s="18" t="str">
        <x:v>4. Product Backlog!F46</x:v>
      </x:c>
      <x:c r="I108" s="18" t="str">
        <x:v>TC-S4-04-02</x:v>
      </x:c>
    </x:row>
    <x:row r="109" ht="61" customHeight="1">
      <x:c r="A109" s="18" t="str">
        <x:v>S4-04-AC03</x:v>
      </x:c>
      <x:c r="B109" s="18" t="str">
        <x:v>S4-04</x:v>
      </x:c>
      <x:c r="C109" s="18" t="n">
        <x:v>4</x:v>
      </x:c>
      <x:c r="D109" s="18" t="str">
        <x:v>EP-04</x:v>
      </x:c>
      <x:c r="E109" s="18" t="str">
        <x:v>Nhân viên tuyển dụng</x:v>
      </x:c>
      <x:c r="F109" s="18" t="n">
        <x:v>3</x:v>
      </x:c>
      <x:c r="G109" s="18" t="str">
        <x:v>Bóc tách thất bại không làm hỏng việc nộp hồ sơ</x:v>
      </x:c>
      <x:c r="H109" s="18" t="str">
        <x:v>4. Product Backlog!F46</x:v>
      </x:c>
      <x:c r="I109" s="18" t="str">
        <x:v>TC-S4-04-03</x:v>
      </x:c>
    </x:row>
    <x:row r="110" ht="61" customHeight="1">
      <x:c r="A110" s="18" t="str">
        <x:v>S4-05-AC01</x:v>
      </x:c>
      <x:c r="B110" s="18" t="str">
        <x:v>S4-05</x:v>
      </x:c>
      <x:c r="C110" s="18" t="n">
        <x:v>4</x:v>
      </x:c>
      <x:c r="D110" s="18" t="str">
        <x:v>EP-04</x:v>
      </x:c>
      <x:c r="E110" s="18" t="str">
        <x:v>Ứng viên</x:v>
      </x:c>
      <x:c r="F110" s="18" t="n">
        <x:v>1</x:v>
      </x:c>
      <x:c r="G110" s="18" t="str">
        <x:v>Nhập mã tra cứu và email để xem trạng thái</x:v>
      </x:c>
      <x:c r="H110" s="18" t="str">
        <x:v>4. Product Backlog!F47</x:v>
      </x:c>
      <x:c r="I110" s="18" t="str">
        <x:v>TC-S4-05-01</x:v>
      </x:c>
    </x:row>
    <x:row r="111" ht="61" customHeight="1">
      <x:c r="A111" s="18" t="str">
        <x:v>S4-05-AC02</x:v>
      </x:c>
      <x:c r="B111" s="18" t="str">
        <x:v>S4-05</x:v>
      </x:c>
      <x:c r="C111" s="18" t="n">
        <x:v>4</x:v>
      </x:c>
      <x:c r="D111" s="18" t="str">
        <x:v>EP-04</x:v>
      </x:c>
      <x:c r="E111" s="18" t="str">
        <x:v>Ứng viên</x:v>
      </x:c>
      <x:c r="F111" s="18" t="n">
        <x:v>2</x:v>
      </x:c>
      <x:c r="G111" s="18" t="str">
        <x:v>Chỉ hiển thị trạng thái ở mức tổng quát: Đã nhận, Đang xem xét, Mời phỏng vấn, Kết thúc</x:v>
      </x:c>
      <x:c r="H111" s="18" t="str">
        <x:v>4. Product Backlog!F47</x:v>
      </x:c>
      <x:c r="I111" s="18" t="str">
        <x:v>TC-S4-05-02</x:v>
      </x:c>
    </x:row>
    <x:row r="112" ht="61" customHeight="1">
      <x:c r="A112" s="18" t="str">
        <x:v>S4-05-AC03</x:v>
      </x:c>
      <x:c r="B112" s="18" t="str">
        <x:v>S4-05</x:v>
      </x:c>
      <x:c r="C112" s="18" t="n">
        <x:v>4</x:v>
      </x:c>
      <x:c r="D112" s="18" t="str">
        <x:v>EP-04</x:v>
      </x:c>
      <x:c r="E112" s="18" t="str">
        <x:v>Ứng viên</x:v>
      </x:c>
      <x:c r="F112" s="18" t="n">
        <x:v>3</x:v>
      </x:c>
      <x:c r="G112" s="18" t="str">
        <x:v>Không tiết lộ nhận xét nội bộ hay tên người phỏng vấn</x:v>
      </x:c>
      <x:c r="H112" s="18" t="str">
        <x:v>4. Product Backlog!F47</x:v>
      </x:c>
      <x:c r="I112" s="18" t="str">
        <x:v>TC-S4-05-03</x:v>
      </x:c>
    </x:row>
    <x:row r="113" ht="61" customHeight="1">
      <x:c r="A113" s="18" t="str">
        <x:v>S4-06-AC01</x:v>
      </x:c>
      <x:c r="B113" s="18" t="str">
        <x:v>S4-06</x:v>
      </x:c>
      <x:c r="C113" s="18" t="n">
        <x:v>4</x:v>
      </x:c>
      <x:c r="D113" s="18" t="str">
        <x:v>EP-04</x:v>
      </x:c>
      <x:c r="E113" s="18" t="str">
        <x:v>Ứng viên</x:v>
      </x:c>
      <x:c r="F113" s="18" t="n">
        <x:v>1</x:v>
      </x:c>
      <x:c r="G113" s="18" t="str">
        <x:v>Rút hồ sơ qua liên kết trong email xác nhận, có xác nhận lại trước khi thực hiện</x:v>
      </x:c>
      <x:c r="H113" s="18" t="str">
        <x:v>4. Product Backlog!F48</x:v>
      </x:c>
      <x:c r="I113" s="18" t="str">
        <x:v>TC-S4-06-01</x:v>
      </x:c>
    </x:row>
    <x:row r="114" ht="61" customHeight="1">
      <x:c r="A114" s="18" t="str">
        <x:v>S4-06-AC02</x:v>
      </x:c>
      <x:c r="B114" s="18" t="str">
        <x:v>S4-06</x:v>
      </x:c>
      <x:c r="C114" s="18" t="n">
        <x:v>4</x:v>
      </x:c>
      <x:c r="D114" s="18" t="str">
        <x:v>EP-04</x:v>
      </x:c>
      <x:c r="E114" s="18" t="str">
        <x:v>Ứng viên</x:v>
      </x:c>
      <x:c r="F114" s="18" t="n">
        <x:v>2</x:v>
      </x:c>
      <x:c r="G114" s="18" t="str">
        <x:v>Hồ sơ chuyển sang trạng thái Ứng viên rút và biến mất khỏi pipeline đang hoạt động</x:v>
      </x:c>
      <x:c r="H114" s="18" t="str">
        <x:v>4. Product Backlog!F48</x:v>
      </x:c>
      <x:c r="I114" s="18" t="str">
        <x:v>TC-S4-06-02</x:v>
      </x:c>
    </x:row>
    <x:row r="115" ht="61" customHeight="1">
      <x:c r="A115" s="18" t="str">
        <x:v>S4-06-AC03</x:v>
      </x:c>
      <x:c r="B115" s="18" t="str">
        <x:v>S4-06</x:v>
      </x:c>
      <x:c r="C115" s="18" t="n">
        <x:v>4</x:v>
      </x:c>
      <x:c r="D115" s="18" t="str">
        <x:v>EP-04</x:v>
      </x:c>
      <x:c r="E115" s="18" t="str">
        <x:v>Ứng viên</x:v>
      </x:c>
      <x:c r="F115" s="18" t="n">
        <x:v>3</x:v>
      </x:c>
      <x:c r="G115" s="18" t="str">
        <x:v>Recruiter phụ trách nhận thông báo</x:v>
      </x:c>
      <x:c r="H115" s="18" t="str">
        <x:v>4. Product Backlog!F48</x:v>
      </x:c>
      <x:c r="I115" s="18" t="str">
        <x:v>TC-S4-06-03</x:v>
      </x:c>
    </x:row>
    <x:row r="116" ht="61" customHeight="1">
      <x:c r="A116" s="18" t="str">
        <x:v>S4-07-AC01</x:v>
      </x:c>
      <x:c r="B116" s="18" t="str">
        <x:v>S4-07</x:v>
      </x:c>
      <x:c r="C116" s="18" t="n">
        <x:v>4</x:v>
      </x:c>
      <x:c r="D116" s="18" t="str">
        <x:v>EP-04</x:v>
      </x:c>
      <x:c r="E116" s="18" t="str">
        <x:v>nhân sự nội bộ</x:v>
      </x:c>
      <x:c r="F116" s="18" t="n">
        <x:v>1</x:v>
      </x:c>
      <x:c r="G116" s="18" t="str">
        <x:v>Nhân viên nội bộ nộp hồ sơ giúp người quen kèm ghi chú giới thiệu</x:v>
      </x:c>
      <x:c r="H116" s="18" t="str">
        <x:v>4. Product Backlog!F49</x:v>
      </x:c>
      <x:c r="I116" s="18" t="str">
        <x:v>TC-S4-07-01</x:v>
      </x:c>
    </x:row>
    <x:row r="117" ht="61" customHeight="1">
      <x:c r="A117" s="18" t="str">
        <x:v>S4-07-AC02</x:v>
      </x:c>
      <x:c r="B117" s="18" t="str">
        <x:v>S4-07</x:v>
      </x:c>
      <x:c r="C117" s="18" t="n">
        <x:v>4</x:v>
      </x:c>
      <x:c r="D117" s="18" t="str">
        <x:v>EP-04</x:v>
      </x:c>
      <x:c r="E117" s="18" t="str">
        <x:v>nhân sự nội bộ</x:v>
      </x:c>
      <x:c r="F117" s="18" t="n">
        <x:v>2</x:v>
      </x:c>
      <x:c r="G117" s="18" t="str">
        <x:v>Hồ sơ được gắn nhãn nguồn Giới thiệu nội bộ và tên người giới thiệu</x:v>
      </x:c>
      <x:c r="H117" s="18" t="str">
        <x:v>4. Product Backlog!F49</x:v>
      </x:c>
      <x:c r="I117" s="18" t="str">
        <x:v>TC-S4-07-02</x:v>
      </x:c>
    </x:row>
    <x:row r="118" ht="61" customHeight="1">
      <x:c r="A118" s="18" t="str">
        <x:v>S4-07-AC03</x:v>
      </x:c>
      <x:c r="B118" s="18" t="str">
        <x:v>S4-07</x:v>
      </x:c>
      <x:c r="C118" s="18" t="n">
        <x:v>4</x:v>
      </x:c>
      <x:c r="D118" s="18" t="str">
        <x:v>EP-04</x:v>
      </x:c>
      <x:c r="E118" s="18" t="str">
        <x:v>nhân sự nội bộ</x:v>
      </x:c>
      <x:c r="F118" s="18" t="n">
        <x:v>3</x:v>
      </x:c>
      <x:c r="G118" s="18" t="str">
        <x:v>Người giới thiệu theo dõi được trạng thái ở mức tổng quát</x:v>
      </x:c>
      <x:c r="H118" s="18" t="str">
        <x:v>4. Product Backlog!F49</x:v>
      </x:c>
      <x:c r="I118" s="18" t="str">
        <x:v>TC-S4-07-03</x:v>
      </x:c>
    </x:row>
    <x:row r="119" ht="61" customHeight="1">
      <x:c r="A119" s="18" t="str">
        <x:v>S4-08-AC01</x:v>
      </x:c>
      <x:c r="B119" s="18" t="str">
        <x:v>S4-08</x:v>
      </x:c>
      <x:c r="C119" s="18" t="n">
        <x:v>4</x:v>
      </x:c>
      <x:c r="D119" s="18" t="str">
        <x:v>EP-04</x:v>
      </x:c>
      <x:c r="E119" s="18" t="str">
        <x:v>Nhân viên tuyển dụng</x:v>
      </x:c>
      <x:c r="F119" s="18" t="n">
        <x:v>1</x:v>
      </x:c>
      <x:c r="G119" s="18" t="str">
        <x:v>Gỡ tin thủ công bất cứ lúc nào, tin biến mất khỏi trang công khai ngay</x:v>
      </x:c>
      <x:c r="H119" s="18" t="str">
        <x:v>4. Product Backlog!F50</x:v>
      </x:c>
      <x:c r="I119" s="18" t="str">
        <x:v>TC-S4-08-01</x:v>
      </x:c>
    </x:row>
    <x:row r="120" ht="61" customHeight="1">
      <x:c r="A120" s="18" t="str">
        <x:v>S4-08-AC02</x:v>
      </x:c>
      <x:c r="B120" s="18" t="str">
        <x:v>S4-08</x:v>
      </x:c>
      <x:c r="C120" s="18" t="n">
        <x:v>4</x:v>
      </x:c>
      <x:c r="D120" s="18" t="str">
        <x:v>EP-04</x:v>
      </x:c>
      <x:c r="E120" s="18" t="str">
        <x:v>Nhân viên tuyển dụng</x:v>
      </x:c>
      <x:c r="F120" s="18" t="n">
        <x:v>2</x:v>
      </x:c>
      <x:c r="G120" s="18" t="str">
        <x:v>Tin quá hạn nhận hồ sơ tự động ẩn bằng tác vụ định kỳ hằng ngày</x:v>
      </x:c>
      <x:c r="H120" s="18" t="str">
        <x:v>4. Product Backlog!F50</x:v>
      </x:c>
      <x:c r="I120" s="18" t="str">
        <x:v>TC-S4-08-02</x:v>
      </x:c>
    </x:row>
    <x:row r="121" ht="61" customHeight="1">
      <x:c r="A121" s="18" t="str">
        <x:v>S4-09-AC01</x:v>
      </x:c>
      <x:c r="B121" s="18" t="str">
        <x:v>S4-09</x:v>
      </x:c>
      <x:c r="C121" s="18" t="n">
        <x:v>4</x:v>
      </x:c>
      <x:c r="D121" s="18" t="str">
        <x:v>EP-05</x:v>
      </x:c>
      <x:c r="E121" s="18" t="str">
        <x:v>Nhân viên tuyển dụng</x:v>
      </x:c>
      <x:c r="F121" s="18" t="n">
        <x:v>1</x:v>
      </x:c>
      <x:c r="G121" s="18" t="str">
        <x:v>Một trang gồm thông tin cá nhân, CV xem trước ngay trong trang, lịch sử ứng tuyển các vị trí, nhãn, ghi chú</x:v>
      </x:c>
      <x:c r="H121" s="18" t="str">
        <x:v>4. Product Backlog!F51</x:v>
      </x:c>
      <x:c r="I121" s="18" t="str">
        <x:v>TC-S4-09-01</x:v>
      </x:c>
    </x:row>
    <x:row r="122" ht="61" customHeight="1">
      <x:c r="A122" s="18" t="str">
        <x:v>S4-09-AC02</x:v>
      </x:c>
      <x:c r="B122" s="18" t="str">
        <x:v>S4-09</x:v>
      </x:c>
      <x:c r="C122" s="18" t="n">
        <x:v>4</x:v>
      </x:c>
      <x:c r="D122" s="18" t="str">
        <x:v>EP-05</x:v>
      </x:c>
      <x:c r="E122" s="18" t="str">
        <x:v>Nhân viên tuyển dụng</x:v>
      </x:c>
      <x:c r="F122" s="18" t="n">
        <x:v>2</x:v>
      </x:c>
      <x:c r="G122" s="18" t="str">
        <x:v>Hiển thị đầy đủ các lần ứng tuyển trước đây của cùng người này</x:v>
      </x:c>
      <x:c r="H122" s="18" t="str">
        <x:v>4. Product Backlog!F51</x:v>
      </x:c>
      <x:c r="I122" s="18" t="str">
        <x:v>TC-S4-09-02</x:v>
      </x:c>
    </x:row>
    <x:row r="123" ht="61" customHeight="1">
      <x:c r="A123" s="18" t="str">
        <x:v>S4-09-AC03</x:v>
      </x:c>
      <x:c r="B123" s="18" t="str">
        <x:v>S4-09</x:v>
      </x:c>
      <x:c r="C123" s="18" t="n">
        <x:v>4</x:v>
      </x:c>
      <x:c r="D123" s="18" t="str">
        <x:v>EP-05</x:v>
      </x:c>
      <x:c r="E123" s="18" t="str">
        <x:v>Nhân viên tuyển dụng</x:v>
      </x:c>
      <x:c r="F123" s="18" t="n">
        <x:v>3</x:v>
      </x:c>
      <x:c r="G123" s="18" t="str">
        <x:v>Chỉ recruiter phụ trách và hiring manager của vị trí đó mở được</x:v>
      </x:c>
      <x:c r="H123" s="18" t="str">
        <x:v>4. Product Backlog!F51</x:v>
      </x:c>
      <x:c r="I123" s="18" t="str">
        <x:v>TC-S4-09-03</x:v>
      </x:c>
    </x:row>
    <x:row r="124" ht="61" customHeight="1">
      <x:c r="A124" s="18" t="str">
        <x:v>S5-01-AC01</x:v>
      </x:c>
      <x:c r="B124" s="18" t="str">
        <x:v>S5-01</x:v>
      </x:c>
      <x:c r="C124" s="18" t="n">
        <x:v>5</x:v>
      </x:c>
      <x:c r="D124" s="18" t="str">
        <x:v>EP-05</x:v>
      </x:c>
      <x:c r="E124" s="18" t="str">
        <x:v>Nhân viên tuyển dụng</x:v>
      </x:c>
      <x:c r="F124" s="18" t="n">
        <x:v>1</x:v>
      </x:c>
      <x:c r="G124" s="18" t="str">
        <x:v>Phát hiện trùng theo email và số điện thoại khi có hồ sơ mới</x:v>
      </x:c>
      <x:c r="H124" s="18" t="str">
        <x:v>4. Product Backlog!F54</x:v>
      </x:c>
      <x:c r="I124" s="18" t="str">
        <x:v>TC-S5-01-01</x:v>
      </x:c>
    </x:row>
    <x:row r="125" ht="61" customHeight="1">
      <x:c r="A125" s="18" t="str">
        <x:v>S5-01-AC02</x:v>
      </x:c>
      <x:c r="B125" s="18" t="str">
        <x:v>S5-01</x:v>
      </x:c>
      <x:c r="C125" s="18" t="n">
        <x:v>5</x:v>
      </x:c>
      <x:c r="D125" s="18" t="str">
        <x:v>EP-05</x:v>
      </x:c>
      <x:c r="E125" s="18" t="str">
        <x:v>Nhân viên tuyển dụng</x:v>
      </x:c>
      <x:c r="F125" s="18" t="n">
        <x:v>2</x:v>
      </x:c>
      <x:c r="G125" s="18" t="str">
        <x:v>Hiển thị so sánh cạnh nhau trước khi gộp</x:v>
      </x:c>
      <x:c r="H125" s="18" t="str">
        <x:v>4. Product Backlog!F54</x:v>
      </x:c>
      <x:c r="I125" s="18" t="str">
        <x:v>TC-S5-01-02</x:v>
      </x:c>
    </x:row>
    <x:row r="126" ht="61" customHeight="1">
      <x:c r="A126" s="18" t="str">
        <x:v>S5-01-AC03</x:v>
      </x:c>
      <x:c r="B126" s="18" t="str">
        <x:v>S5-01</x:v>
      </x:c>
      <x:c r="C126" s="18" t="n">
        <x:v>5</x:v>
      </x:c>
      <x:c r="D126" s="18" t="str">
        <x:v>EP-05</x:v>
      </x:c>
      <x:c r="E126" s="18" t="str">
        <x:v>Nhân viên tuyển dụng</x:v>
      </x:c>
      <x:c r="F126" s="18" t="n">
        <x:v>3</x:v>
      </x:c>
      <x:c r="G126" s="18" t="str">
        <x:v>Gộp giữ lại toàn bộ lịch sử ứng tuyển của cả hai hồ sơ</x:v>
      </x:c>
      <x:c r="H126" s="18" t="str">
        <x:v>4. Product Backlog!F54</x:v>
      </x:c>
      <x:c r="I126" s="18" t="str">
        <x:v>TC-S5-01-03</x:v>
      </x:c>
    </x:row>
    <x:row r="127" ht="61" customHeight="1">
      <x:c r="A127" s="18" t="str">
        <x:v>S5-01-AC04</x:v>
      </x:c>
      <x:c r="B127" s="18" t="str">
        <x:v>S5-01</x:v>
      </x:c>
      <x:c r="C127" s="18" t="n">
        <x:v>5</x:v>
      </x:c>
      <x:c r="D127" s="18" t="str">
        <x:v>EP-05</x:v>
      </x:c>
      <x:c r="E127" s="18" t="str">
        <x:v>Nhân viên tuyển dụng</x:v>
      </x:c>
      <x:c r="F127" s="18" t="n">
        <x:v>4</x:v>
      </x:c>
      <x:c r="G127" s="18" t="str">
        <x:v>Gộp nhầm có thể hoàn tác trong 24 giờ</x:v>
      </x:c>
      <x:c r="H127" s="18" t="str">
        <x:v>4. Product Backlog!F54</x:v>
      </x:c>
      <x:c r="I127" s="18" t="str">
        <x:v>TC-S5-01-04</x:v>
      </x:c>
    </x:row>
    <x:row r="128" ht="61" customHeight="1">
      <x:c r="A128" s="18" t="str">
        <x:v>S5-02-AC01</x:v>
      </x:c>
      <x:c r="B128" s="18" t="str">
        <x:v>S5-02</x:v>
      </x:c>
      <x:c r="C128" s="18" t="n">
        <x:v>5</x:v>
      </x:c>
      <x:c r="D128" s="18" t="str">
        <x:v>EP-05</x:v>
      </x:c>
      <x:c r="E128" s="18" t="str">
        <x:v>Nhân viên tuyển dụng</x:v>
      </x:c>
      <x:c r="F128" s="18" t="n">
        <x:v>1</x:v>
      </x:c>
      <x:c r="G128" s="18" t="str">
        <x:v>Các giai đoạn: Hồ sơ mới → Sàng lọc → Phỏng vấn → Đề xuất offer → Nhận việc → Loại</x:v>
      </x:c>
      <x:c r="H128" s="18" t="str">
        <x:v>4. Product Backlog!F55</x:v>
      </x:c>
      <x:c r="I128" s="18" t="str">
        <x:v>TC-S5-02-01</x:v>
      </x:c>
    </x:row>
    <x:row r="129" ht="61" customHeight="1">
      <x:c r="A129" s="18" t="str">
        <x:v>S5-02-AC02</x:v>
      </x:c>
      <x:c r="B129" s="18" t="str">
        <x:v>S5-02</x:v>
      </x:c>
      <x:c r="C129" s="18" t="n">
        <x:v>5</x:v>
      </x:c>
      <x:c r="D129" s="18" t="str">
        <x:v>EP-05</x:v>
      </x:c>
      <x:c r="E129" s="18" t="str">
        <x:v>Nhân viên tuyển dụng</x:v>
      </x:c>
      <x:c r="F129" s="18" t="n">
        <x:v>2</x:v>
      </x:c>
      <x:c r="G129" s="18" t="str">
        <x:v>Kéo thả để chuyển giai đoạn</x:v>
      </x:c>
      <x:c r="H129" s="18" t="str">
        <x:v>4. Product Backlog!F55</x:v>
      </x:c>
      <x:c r="I129" s="18" t="str">
        <x:v>TC-S5-02-02</x:v>
      </x:c>
    </x:row>
    <x:row r="130" ht="61" customHeight="1">
      <x:c r="A130" s="18" t="str">
        <x:v>S5-02-AC03</x:v>
      </x:c>
      <x:c r="B130" s="18" t="str">
        <x:v>S5-02</x:v>
      </x:c>
      <x:c r="C130" s="18" t="n">
        <x:v>5</x:v>
      </x:c>
      <x:c r="D130" s="18" t="str">
        <x:v>EP-05</x:v>
      </x:c>
      <x:c r="E130" s="18" t="str">
        <x:v>Nhân viên tuyển dụng</x:v>
      </x:c>
      <x:c r="F130" s="18" t="n">
        <x:v>3</x:v>
      </x:c>
      <x:c r="G130" s="18" t="str">
        <x:v>Mỗi cột hiển thị số lượng ứng viên</x:v>
      </x:c>
      <x:c r="H130" s="18" t="str">
        <x:v>4. Product Backlog!F55</x:v>
      </x:c>
      <x:c r="I130" s="18" t="str">
        <x:v>TC-S5-02-03</x:v>
      </x:c>
    </x:row>
    <x:row r="131" ht="61" customHeight="1">
      <x:c r="A131" s="18" t="str">
        <x:v>S5-02-AC04</x:v>
      </x:c>
      <x:c r="B131" s="18" t="str">
        <x:v>S5-02</x:v>
      </x:c>
      <x:c r="C131" s="18" t="n">
        <x:v>5</x:v>
      </x:c>
      <x:c r="D131" s="18" t="str">
        <x:v>EP-05</x:v>
      </x:c>
      <x:c r="E131" s="18" t="str">
        <x:v>Nhân viên tuyển dụng</x:v>
      </x:c>
      <x:c r="F131" s="18" t="n">
        <x:v>4</x:v>
      </x:c>
      <x:c r="G131" s="18" t="str">
        <x:v>Bảng lọc theo vị trí tuyển dụng, mặc định là vị trí recruiter đang phụ trách</x:v>
      </x:c>
      <x:c r="H131" s="18" t="str">
        <x:v>4. Product Backlog!F55</x:v>
      </x:c>
      <x:c r="I131" s="18" t="str">
        <x:v>TC-S5-02-04</x:v>
      </x:c>
    </x:row>
    <x:row r="132" ht="61" customHeight="1">
      <x:c r="A132" s="18" t="str">
        <x:v>S5-03-AC01</x:v>
      </x:c>
      <x:c r="B132" s="18" t="str">
        <x:v>S5-03</x:v>
      </x:c>
      <x:c r="C132" s="18" t="n">
        <x:v>5</x:v>
      </x:c>
      <x:c r="D132" s="18" t="str">
        <x:v>EP-05</x:v>
      </x:c>
      <x:c r="E132" s="18" t="str">
        <x:v>Nhân viên tuyển dụng</x:v>
      </x:c>
      <x:c r="F132" s="18" t="n">
        <x:v>1</x:v>
      </x:c>
      <x:c r="G132" s="18" t="str">
        <x:v>Chuyển sang Loại bắt buộc chọn lý do từ danh mục</x:v>
      </x:c>
      <x:c r="H132" s="18" t="str">
        <x:v>4. Product Backlog!F56</x:v>
      </x:c>
      <x:c r="I132" s="18" t="str">
        <x:v>TC-S5-03-01</x:v>
      </x:c>
    </x:row>
    <x:row r="133" ht="61" customHeight="1">
      <x:c r="A133" s="18" t="str">
        <x:v>S5-03-AC02</x:v>
      </x:c>
      <x:c r="B133" s="18" t="str">
        <x:v>S5-03</x:v>
      </x:c>
      <x:c r="C133" s="18" t="n">
        <x:v>5</x:v>
      </x:c>
      <x:c r="D133" s="18" t="str">
        <x:v>EP-05</x:v>
      </x:c>
      <x:c r="E133" s="18" t="str">
        <x:v>Nhân viên tuyển dụng</x:v>
      </x:c>
      <x:c r="F133" s="18" t="n">
        <x:v>2</x:v>
      </x:c>
      <x:c r="G133" s="18" t="str">
        <x:v>Mỗi lần chuyển giai đoạn được ghi nhật ký kèm người thực hiện và thời điểm</x:v>
      </x:c>
      <x:c r="H133" s="18" t="str">
        <x:v>4. Product Backlog!F56</x:v>
      </x:c>
      <x:c r="I133" s="18" t="str">
        <x:v>TC-S5-03-02</x:v>
      </x:c>
    </x:row>
    <x:row r="134" ht="61" customHeight="1">
      <x:c r="A134" s="18" t="str">
        <x:v>S5-03-AC03</x:v>
      </x:c>
      <x:c r="B134" s="18" t="str">
        <x:v>S5-03</x:v>
      </x:c>
      <x:c r="C134" s="18" t="n">
        <x:v>5</x:v>
      </x:c>
      <x:c r="D134" s="18" t="str">
        <x:v>EP-05</x:v>
      </x:c>
      <x:c r="E134" s="18" t="str">
        <x:v>Nhân viên tuyển dụng</x:v>
      </x:c>
      <x:c r="F134" s="18" t="n">
        <x:v>3</x:v>
      </x:c>
      <x:c r="G134" s="18" t="str">
        <x:v>Không cho phép bỏ qua giai đoạn Phỏng vấn khi đi thẳng tới Đề xuất offer, trừ khi Trưởng phòng Nhân sự xác nhận</x:v>
      </x:c>
      <x:c r="H134" s="18" t="str">
        <x:v>4. Product Backlog!F56</x:v>
      </x:c>
      <x:c r="I134" s="18" t="str">
        <x:v>TC-S5-03-03</x:v>
      </x:c>
    </x:row>
    <x:row r="135" ht="61" customHeight="1">
      <x:c r="A135" s="18" t="str">
        <x:v>S5-04-AC01</x:v>
      </x:c>
      <x:c r="B135" s="18" t="str">
        <x:v>S5-04</x:v>
      </x:c>
      <x:c r="C135" s="18" t="n">
        <x:v>5</x:v>
      </x:c>
      <x:c r="D135" s="18" t="str">
        <x:v>EP-05</x:v>
      </x:c>
      <x:c r="E135" s="18" t="str">
        <x:v>Nhân viên tuyển dụng</x:v>
      </x:c>
      <x:c r="F135" s="18" t="n">
        <x:v>1</x:v>
      </x:c>
      <x:c r="G135" s="18" t="str">
        <x:v>Gắn nhiều nhãn cho một hồ sơ, nhãn khai báo được ở danh mục</x:v>
      </x:c>
      <x:c r="H135" s="18" t="str">
        <x:v>4. Product Backlog!F57</x:v>
      </x:c>
      <x:c r="I135" s="18" t="str">
        <x:v>TC-S5-04-01</x:v>
      </x:c>
    </x:row>
    <x:row r="136" ht="61" customHeight="1">
      <x:c r="A136" s="18" t="str">
        <x:v>S5-04-AC02</x:v>
      </x:c>
      <x:c r="B136" s="18" t="str">
        <x:v>S5-04</x:v>
      </x:c>
      <x:c r="C136" s="18" t="n">
        <x:v>5</x:v>
      </x:c>
      <x:c r="D136" s="18" t="str">
        <x:v>EP-05</x:v>
      </x:c>
      <x:c r="E136" s="18" t="str">
        <x:v>Nhân viên tuyển dụng</x:v>
      </x:c>
      <x:c r="F136" s="18" t="n">
        <x:v>2</x:v>
      </x:c>
      <x:c r="G136" s="18" t="str">
        <x:v>Đánh giá nhanh theo thang 1–5 sao</x:v>
      </x:c>
      <x:c r="H136" s="18" t="str">
        <x:v>4. Product Backlog!F57</x:v>
      </x:c>
      <x:c r="I136" s="18" t="str">
        <x:v>TC-S5-04-02</x:v>
      </x:c>
    </x:row>
    <x:row r="137" ht="61" customHeight="1">
      <x:c r="A137" s="18" t="str">
        <x:v>S5-04-AC03</x:v>
      </x:c>
      <x:c r="B137" s="18" t="str">
        <x:v>S5-04</x:v>
      </x:c>
      <x:c r="C137" s="18" t="n">
        <x:v>5</x:v>
      </x:c>
      <x:c r="D137" s="18" t="str">
        <x:v>EP-05</x:v>
      </x:c>
      <x:c r="E137" s="18" t="str">
        <x:v>Nhân viên tuyển dụng</x:v>
      </x:c>
      <x:c r="F137" s="18" t="n">
        <x:v>3</x:v>
      </x:c>
      <x:c r="G137" s="18" t="str">
        <x:v>Ghi chú nội bộ có ghi tên người viết, ứng viên không bao giờ nhìn thấy</x:v>
      </x:c>
      <x:c r="H137" s="18" t="str">
        <x:v>4. Product Backlog!F57</x:v>
      </x:c>
      <x:c r="I137" s="18" t="str">
        <x:v>TC-S5-04-03</x:v>
      </x:c>
    </x:row>
    <x:row r="138" ht="61" customHeight="1">
      <x:c r="A138" s="18" t="str">
        <x:v>S5-05-AC01</x:v>
      </x:c>
      <x:c r="B138" s="18" t="str">
        <x:v>S5-05</x:v>
      </x:c>
      <x:c r="C138" s="18" t="n">
        <x:v>5</x:v>
      </x:c>
      <x:c r="D138" s="18" t="str">
        <x:v>EP-05</x:v>
      </x:c>
      <x:c r="E138" s="18" t="str">
        <x:v>Nhân viên tuyển dụng</x:v>
      </x:c>
      <x:c r="F138" s="18" t="n">
        <x:v>1</x:v>
      </x:c>
      <x:c r="G138" s="18" t="str">
        <x:v>Lọc theo vị trí, giai đoạn, nguồn, nhãn, khoảng thời gian nộp, mức đánh giá</x:v>
      </x:c>
      <x:c r="H138" s="18" t="str">
        <x:v>4. Product Backlog!F58</x:v>
      </x:c>
      <x:c r="I138" s="18" t="str">
        <x:v>TC-S5-05-01</x:v>
      </x:c>
    </x:row>
    <x:row r="139" ht="61" customHeight="1">
      <x:c r="A139" s="18" t="str">
        <x:v>S5-05-AC02</x:v>
      </x:c>
      <x:c r="B139" s="18" t="str">
        <x:v>S5-05</x:v>
      </x:c>
      <x:c r="C139" s="18" t="n">
        <x:v>5</x:v>
      </x:c>
      <x:c r="D139" s="18" t="str">
        <x:v>EP-05</x:v>
      </x:c>
      <x:c r="E139" s="18" t="str">
        <x:v>Nhân viên tuyển dụng</x:v>
      </x:c>
      <x:c r="F139" s="18" t="n">
        <x:v>2</x:v>
      </x:c>
      <x:c r="G139" s="18" t="str">
        <x:v>Tìm theo tên, email, số điện thoại và từ khoá trong thư giới thiệu</x:v>
      </x:c>
      <x:c r="H139" s="18" t="str">
        <x:v>4. Product Backlog!F58</x:v>
      </x:c>
      <x:c r="I139" s="18" t="str">
        <x:v>TC-S5-05-02</x:v>
      </x:c>
    </x:row>
    <x:row r="140" ht="61" customHeight="1">
      <x:c r="A140" s="18" t="str">
        <x:v>S5-05-AC03</x:v>
      </x:c>
      <x:c r="B140" s="18" t="str">
        <x:v>S5-05</x:v>
      </x:c>
      <x:c r="C140" s="18" t="n">
        <x:v>5</x:v>
      </x:c>
      <x:c r="D140" s="18" t="str">
        <x:v>EP-05</x:v>
      </x:c>
      <x:c r="E140" s="18" t="str">
        <x:v>Nhân viên tuyển dụng</x:v>
      </x:c>
      <x:c r="F140" s="18" t="n">
        <x:v>3</x:v>
      </x:c>
      <x:c r="G140" s="18" t="str">
        <x:v>Lưu lại được bộ lọc hay dùng</x:v>
      </x:c>
      <x:c r="H140" s="18" t="str">
        <x:v>4. Product Backlog!F58</x:v>
      </x:c>
      <x:c r="I140" s="18" t="str">
        <x:v>TC-S5-05-03</x:v>
      </x:c>
    </x:row>
    <x:row r="141" ht="61" customHeight="1">
      <x:c r="A141" s="18" t="str">
        <x:v>S5-06-AC01</x:v>
      </x:c>
      <x:c r="B141" s="18" t="str">
        <x:v>S5-06</x:v>
      </x:c>
      <x:c r="C141" s="18" t="n">
        <x:v>5</x:v>
      </x:c>
      <x:c r="D141" s="18" t="str">
        <x:v>EP-05</x:v>
      </x:c>
      <x:c r="E141" s="18" t="str">
        <x:v>Trưởng phòng Nhân sự</x:v>
      </x:c>
      <x:c r="F141" s="18" t="n">
        <x:v>1</x:v>
      </x:c>
      <x:c r="G141" s="18" t="str">
        <x:v>Ứng viên bị loại ở vòng cuối được đánh dấu đưa vào kho tiềm năng kèm lý do</x:v>
      </x:c>
      <x:c r="H141" s="18" t="str">
        <x:v>4. Product Backlog!F59</x:v>
      </x:c>
      <x:c r="I141" s="18" t="str">
        <x:v>TC-S5-06-01</x:v>
      </x:c>
    </x:row>
    <x:row r="142" ht="61" customHeight="1">
      <x:c r="A142" s="18" t="str">
        <x:v>S5-06-AC02</x:v>
      </x:c>
      <x:c r="B142" s="18" t="str">
        <x:v>S5-06</x:v>
      </x:c>
      <x:c r="C142" s="18" t="n">
        <x:v>5</x:v>
      </x:c>
      <x:c r="D142" s="18" t="str">
        <x:v>EP-05</x:v>
      </x:c>
      <x:c r="E142" s="18" t="str">
        <x:v>Trưởng phòng Nhân sự</x:v>
      </x:c>
      <x:c r="F142" s="18" t="n">
        <x:v>2</x:v>
      </x:c>
      <x:c r="G142" s="18" t="str">
        <x:v>Kho tìm kiếm được theo chức danh quan tâm và kỹ năng</x:v>
      </x:c>
      <x:c r="H142" s="18" t="str">
        <x:v>4. Product Backlog!F59</x:v>
      </x:c>
      <x:c r="I142" s="18" t="str">
        <x:v>TC-S5-06-02</x:v>
      </x:c>
    </x:row>
    <x:row r="143" ht="61" customHeight="1">
      <x:c r="A143" s="18" t="str">
        <x:v>S5-06-AC03</x:v>
      </x:c>
      <x:c r="B143" s="18" t="str">
        <x:v>S5-06</x:v>
      </x:c>
      <x:c r="C143" s="18" t="n">
        <x:v>5</x:v>
      </x:c>
      <x:c r="D143" s="18" t="str">
        <x:v>EP-05</x:v>
      </x:c>
      <x:c r="E143" s="18" t="str">
        <x:v>Trưởng phòng Nhân sự</x:v>
      </x:c>
      <x:c r="F143" s="18" t="n">
        <x:v>3</x:v>
      </x:c>
      <x:c r="G143" s="18" t="str">
        <x:v>Khi mở vị trí mới, hệ thống gợi ý ứng viên phù hợp từ kho</x:v>
      </x:c>
      <x:c r="H143" s="18" t="str">
        <x:v>4. Product Backlog!F59</x:v>
      </x:c>
      <x:c r="I143" s="18" t="str">
        <x:v>TC-S5-06-03</x:v>
      </x:c>
    </x:row>
    <x:row r="144" ht="61" customHeight="1">
      <x:c r="A144" s="18" t="str">
        <x:v>S5-07-AC01</x:v>
      </x:c>
      <x:c r="B144" s="18" t="str">
        <x:v>S5-07</x:v>
      </x:c>
      <x:c r="C144" s="18" t="n">
        <x:v>5</x:v>
      </x:c>
      <x:c r="D144" s="18" t="str">
        <x:v>EP-05</x:v>
      </x:c>
      <x:c r="E144" s="18" t="str">
        <x:v>Nhân viên tuyển dụng</x:v>
      </x:c>
      <x:c r="F144" s="18" t="n">
        <x:v>1</x:v>
      </x:c>
      <x:c r="G144" s="18" t="str">
        <x:v>Dòng thời gian gồm: nộp hồ sơ, chuyển giai đoạn, email đã gửi, lịch phỏng vấn, đánh giá</x:v>
      </x:c>
      <x:c r="H144" s="18" t="str">
        <x:v>4. Product Backlog!F60</x:v>
      </x:c>
      <x:c r="I144" s="18" t="str">
        <x:v>TC-S5-07-01</x:v>
      </x:c>
    </x:row>
    <x:row r="145" ht="61" customHeight="1">
      <x:c r="A145" s="18" t="str">
        <x:v>S5-07-AC02</x:v>
      </x:c>
      <x:c r="B145" s="18" t="str">
        <x:v>S5-07</x:v>
      </x:c>
      <x:c r="C145" s="18" t="n">
        <x:v>5</x:v>
      </x:c>
      <x:c r="D145" s="18" t="str">
        <x:v>EP-05</x:v>
      </x:c>
      <x:c r="E145" s="18" t="str">
        <x:v>Nhân viên tuyển dụng</x:v>
      </x:c>
      <x:c r="F145" s="18" t="n">
        <x:v>2</x:v>
      </x:c>
      <x:c r="G145" s="18" t="str">
        <x:v>Sắp xếp mới nhất trước</x:v>
      </x:c>
      <x:c r="H145" s="18" t="str">
        <x:v>4. Product Backlog!F60</x:v>
      </x:c>
      <x:c r="I145" s="18" t="str">
        <x:v>TC-S5-07-02</x:v>
      </x:c>
    </x:row>
    <x:row r="146" ht="61" customHeight="1">
      <x:c r="A146" s="18" t="str">
        <x:v>S5-08-AC01</x:v>
      </x:c>
      <x:c r="B146" s="18" t="str">
        <x:v>S5-08</x:v>
      </x:c>
      <x:c r="C146" s="18" t="n">
        <x:v>5</x:v>
      </x:c>
      <x:c r="D146" s="18" t="str">
        <x:v>EP-05</x:v>
      </x:c>
      <x:c r="E146" s="18" t="str">
        <x:v>Nhân viên tuyển dụng</x:v>
      </x:c>
      <x:c r="F146" s="18" t="n">
        <x:v>1</x:v>
      </x:c>
      <x:c r="G146" s="18" t="str">
        <x:v>Nhập tay thông tin và tải CV cho ứng viên tìm được từ nguồn khác</x:v>
      </x:c>
      <x:c r="H146" s="18" t="str">
        <x:v>4. Product Backlog!F61</x:v>
      </x:c>
      <x:c r="I146" s="18" t="str">
        <x:v>TC-S5-08-01</x:v>
      </x:c>
    </x:row>
    <x:row r="147" ht="61" customHeight="1">
      <x:c r="A147" s="18" t="str">
        <x:v>S5-08-AC02</x:v>
      </x:c>
      <x:c r="B147" s="18" t="str">
        <x:v>S5-08</x:v>
      </x:c>
      <x:c r="C147" s="18" t="n">
        <x:v>5</x:v>
      </x:c>
      <x:c r="D147" s="18" t="str">
        <x:v>EP-05</x:v>
      </x:c>
      <x:c r="E147" s="18" t="str">
        <x:v>Nhân viên tuyển dụng</x:v>
      </x:c>
      <x:c r="F147" s="18" t="n">
        <x:v>2</x:v>
      </x:c>
      <x:c r="G147" s="18" t="str">
        <x:v>Ứng viên thêm tay vẫn đi qua đúng luồng phát hiện trùng</x:v>
      </x:c>
      <x:c r="H147" s="18" t="str">
        <x:v>4. Product Backlog!F61</x:v>
      </x:c>
      <x:c r="I147" s="18" t="str">
        <x:v>TC-S5-08-02</x:v>
      </x:c>
    </x:row>
    <x:row r="148" ht="61" customHeight="1">
      <x:c r="A148" s="18" t="str">
        <x:v>S5-09-AC01</x:v>
      </x:c>
      <x:c r="B148" s="18" t="str">
        <x:v>S5-09</x:v>
      </x:c>
      <x:c r="C148" s="18" t="n">
        <x:v>5</x:v>
      </x:c>
      <x:c r="D148" s="18" t="str">
        <x:v>EP-05</x:v>
      </x:c>
      <x:c r="E148" s="18" t="str">
        <x:v>Nhân viên tuyển dụng</x:v>
      </x:c>
      <x:c r="F148" s="18" t="n">
        <x:v>1</x:v>
      </x:c>
      <x:c r="G148" s="18" t="str">
        <x:v>Khai báo tiêu chí bắt buộc cho vị trí: số năm kinh nghiệm, bằng cấp, kỹ năng</x:v>
      </x:c>
      <x:c r="H148" s="18" t="str">
        <x:v>4. Product Backlog!F62</x:v>
      </x:c>
      <x:c r="I148" s="18" t="str">
        <x:v>TC-S5-09-01</x:v>
      </x:c>
    </x:row>
    <x:row r="149" ht="61" customHeight="1">
      <x:c r="A149" s="18" t="str">
        <x:v>S5-09-AC02</x:v>
      </x:c>
      <x:c r="B149" s="18" t="str">
        <x:v>S5-09</x:v>
      </x:c>
      <x:c r="C149" s="18" t="n">
        <x:v>5</x:v>
      </x:c>
      <x:c r="D149" s="18" t="str">
        <x:v>EP-05</x:v>
      </x:c>
      <x:c r="E149" s="18" t="str">
        <x:v>Nhân viên tuyển dụng</x:v>
      </x:c>
      <x:c r="F149" s="18" t="n">
        <x:v>2</x:v>
      </x:c>
      <x:c r="G149" s="18" t="str">
        <x:v>Hồ sơ mới được gắn điểm phù hợp và cờ Đạt hoặc Không đạt tiêu chí bắt buộc</x:v>
      </x:c>
      <x:c r="H149" s="18" t="str">
        <x:v>4. Product Backlog!F62</x:v>
      </x:c>
      <x:c r="I149" s="18" t="str">
        <x:v>TC-S5-09-02</x:v>
      </x:c>
    </x:row>
    <x:row r="150" ht="61" customHeight="1">
      <x:c r="A150" s="18" t="str">
        <x:v>S5-09-AC03</x:v>
      </x:c>
      <x:c r="B150" s="18" t="str">
        <x:v>S5-09</x:v>
      </x:c>
      <x:c r="C150" s="18" t="n">
        <x:v>5</x:v>
      </x:c>
      <x:c r="D150" s="18" t="str">
        <x:v>EP-05</x:v>
      </x:c>
      <x:c r="E150" s="18" t="str">
        <x:v>Nhân viên tuyển dụng</x:v>
      </x:c>
      <x:c r="F150" s="18" t="n">
        <x:v>3</x:v>
      </x:c>
      <x:c r="G150" s="18" t="str">
        <x:v>Điểm chỉ để gợi ý sắp xếp, không tự động loại ứng viên</x:v>
      </x:c>
      <x:c r="H150" s="18" t="str">
        <x:v>4. Product Backlog!F62</x:v>
      </x:c>
      <x:c r="I150" s="18" t="str">
        <x:v>TC-S5-09-03</x:v>
      </x:c>
    </x:row>
    <x:row r="151" ht="61" customHeight="1">
      <x:c r="A151" s="18" t="str">
        <x:v>S5-10-AC01</x:v>
      </x:c>
      <x:c r="B151" s="18" t="str">
        <x:v>S5-10</x:v>
      </x:c>
      <x:c r="C151" s="18" t="n">
        <x:v>5</x:v>
      </x:c>
      <x:c r="D151" s="18" t="str">
        <x:v>EP-08</x:v>
      </x:c>
      <x:c r="E151" s="18" t="str">
        <x:v>Nhân viên tuyển dụng</x:v>
      </x:c>
      <x:c r="F151" s="18" t="n">
        <x:v>1</x:v>
      </x:c>
      <x:c r="G151" s="18" t="str">
        <x:v>Cấu hình ngưỡng SLA cho từng giai đoạn, ví dụ hồ sơ mới phải sàng lọc trong 3 ngày</x:v>
      </x:c>
      <x:c r="H151" s="18" t="str">
        <x:v>4. Product Backlog!F63</x:v>
      </x:c>
      <x:c r="I151" s="18" t="str">
        <x:v>TC-S5-10-01</x:v>
      </x:c>
    </x:row>
    <x:row r="152" ht="61" customHeight="1">
      <x:c r="A152" s="18" t="str">
        <x:v>S5-10-AC02</x:v>
      </x:c>
      <x:c r="B152" s="18" t="str">
        <x:v>S5-10</x:v>
      </x:c>
      <x:c r="C152" s="18" t="n">
        <x:v>5</x:v>
      </x:c>
      <x:c r="D152" s="18" t="str">
        <x:v>EP-08</x:v>
      </x:c>
      <x:c r="E152" s="18" t="str">
        <x:v>Nhân viên tuyển dụng</x:v>
      </x:c>
      <x:c r="F152" s="18" t="n">
        <x:v>2</x:v>
      </x:c>
      <x:c r="G152" s="18" t="str">
        <x:v>Quá hạn thì hồ sơ được gắn cờ và recruiter nhận nhắc việc</x:v>
      </x:c>
      <x:c r="H152" s="18" t="str">
        <x:v>4. Product Backlog!F63</x:v>
      </x:c>
      <x:c r="I152" s="18" t="str">
        <x:v>TC-S5-10-02</x:v>
      </x:c>
    </x:row>
    <x:row r="153" ht="61" customHeight="1">
      <x:c r="A153" s="18" t="str">
        <x:v>S5-10-AC03</x:v>
      </x:c>
      <x:c r="B153" s="18" t="str">
        <x:v>S5-10</x:v>
      </x:c>
      <x:c r="C153" s="18" t="n">
        <x:v>5</x:v>
      </x:c>
      <x:c r="D153" s="18" t="str">
        <x:v>EP-08</x:v>
      </x:c>
      <x:c r="E153" s="18" t="str">
        <x:v>Nhân viên tuyển dụng</x:v>
      </x:c>
      <x:c r="F153" s="18" t="n">
        <x:v>3</x:v>
      </x:c>
      <x:c r="G153" s="18" t="str">
        <x:v>Tác vụ định kỳ chạy mỗi ngày một lần, không nhắc trùng trong cùng ngày</x:v>
      </x:c>
      <x:c r="H153" s="18" t="str">
        <x:v>4. Product Backlog!F63</x:v>
      </x:c>
      <x:c r="I153" s="18" t="str">
        <x:v>TC-S5-10-03</x:v>
      </x:c>
    </x:row>
    <x:row r="154" ht="61" customHeight="1">
      <x:c r="A154" s="18" t="str">
        <x:v>S6-01-AC01</x:v>
      </x:c>
      <x:c r="B154" s="18" t="str">
        <x:v>S6-01</x:v>
      </x:c>
      <x:c r="C154" s="18" t="n">
        <x:v>6</x:v>
      </x:c>
      <x:c r="D154" s="18" t="str">
        <x:v>EP-05</x:v>
      </x:c>
      <x:c r="E154" s="18" t="str">
        <x:v>Nhân viên tuyển dụng</x:v>
      </x:c>
      <x:c r="F154" s="18" t="n">
        <x:v>1</x:v>
      </x:c>
      <x:c r="G154" s="18" t="str">
        <x:v>Xuất theo bộ lọc đang áp dụng</x:v>
      </x:c>
      <x:c r="H154" s="18" t="str">
        <x:v>4. Product Backlog!F66</x:v>
      </x:c>
      <x:c r="I154" s="18" t="str">
        <x:v>TC-S6-01-01</x:v>
      </x:c>
    </x:row>
    <x:row r="155" ht="61" customHeight="1">
      <x:c r="A155" s="18" t="str">
        <x:v>S6-01-AC02</x:v>
      </x:c>
      <x:c r="B155" s="18" t="str">
        <x:v>S6-01</x:v>
      </x:c>
      <x:c r="C155" s="18" t="n">
        <x:v>6</x:v>
      </x:c>
      <x:c r="D155" s="18" t="str">
        <x:v>EP-05</x:v>
      </x:c>
      <x:c r="E155" s="18" t="str">
        <x:v>Nhân viên tuyển dụng</x:v>
      </x:c>
      <x:c r="F155" s="18" t="n">
        <x:v>2</x:v>
      </x:c>
      <x:c r="G155" s="18" t="str">
        <x:v>Tệp không chứa ghi chú nội bộ nhạy cảm</x:v>
      </x:c>
      <x:c r="H155" s="18" t="str">
        <x:v>4. Product Backlog!F66</x:v>
      </x:c>
      <x:c r="I155" s="18" t="str">
        <x:v>TC-S6-01-02</x:v>
      </x:c>
    </x:row>
    <x:row r="156" ht="61" customHeight="1">
      <x:c r="A156" s="18" t="str">
        <x:v>S6-01-AC03</x:v>
      </x:c>
      <x:c r="B156" s="18" t="str">
        <x:v>S6-01</x:v>
      </x:c>
      <x:c r="C156" s="18" t="n">
        <x:v>6</x:v>
      </x:c>
      <x:c r="D156" s="18" t="str">
        <x:v>EP-05</x:v>
      </x:c>
      <x:c r="E156" s="18" t="str">
        <x:v>Nhân viên tuyển dụng</x:v>
      </x:c>
      <x:c r="F156" s="18" t="n">
        <x:v>3</x:v>
      </x:c>
      <x:c r="G156" s="18" t="str">
        <x:v>Tên tệp chứa mã vị trí và ngày xuất</x:v>
      </x:c>
      <x:c r="H156" s="18" t="str">
        <x:v>4. Product Backlog!F66</x:v>
      </x:c>
      <x:c r="I156" s="18" t="str">
        <x:v>TC-S6-01-03</x:v>
      </x:c>
    </x:row>
    <x:row r="157" ht="61" customHeight="1">
      <x:c r="A157" s="18" t="str">
        <x:v>S6-02-AC01</x:v>
      </x:c>
      <x:c r="B157" s="18" t="str">
        <x:v>S6-02</x:v>
      </x:c>
      <x:c r="C157" s="18" t="n">
        <x:v>6</x:v>
      </x:c>
      <x:c r="D157" s="18" t="str">
        <x:v>EP-06</x:v>
      </x:c>
      <x:c r="E157" s="18" t="str">
        <x:v>Nhân viên tuyển dụng</x:v>
      </x:c>
      <x:c r="F157" s="18" t="n">
        <x:v>1</x:v>
      </x:c>
      <x:c r="G157" s="18" t="str">
        <x:v>Chọn vòng phỏng vấn, ngày giờ, thời lượng, hình thức (trực tiếp hoặc trực tuyến), phòng hoặc liên kết họp</x:v>
      </x:c>
      <x:c r="H157" s="18" t="str">
        <x:v>4. Product Backlog!F67</x:v>
      </x:c>
      <x:c r="I157" s="18" t="str">
        <x:v>TC-S6-02-01</x:v>
      </x:c>
    </x:row>
    <x:row r="158" ht="61" customHeight="1">
      <x:c r="A158" s="18" t="str">
        <x:v>S6-02-AC02</x:v>
      </x:c>
      <x:c r="B158" s="18" t="str">
        <x:v>S6-02</x:v>
      </x:c>
      <x:c r="C158" s="18" t="n">
        <x:v>6</x:v>
      </x:c>
      <x:c r="D158" s="18" t="str">
        <x:v>EP-06</x:v>
      </x:c>
      <x:c r="E158" s="18" t="str">
        <x:v>Nhân viên tuyển dụng</x:v>
      </x:c>
      <x:c r="F158" s="18" t="n">
        <x:v>2</x:v>
      </x:c>
      <x:c r="G158" s="18" t="str">
        <x:v>Chọn một hoặc nhiều người phỏng vấn</x:v>
      </x:c>
      <x:c r="H158" s="18" t="str">
        <x:v>4. Product Backlog!F67</x:v>
      </x:c>
      <x:c r="I158" s="18" t="str">
        <x:v>TC-S6-02-02</x:v>
      </x:c>
    </x:row>
    <x:row r="159" ht="61" customHeight="1">
      <x:c r="A159" s="18" t="str">
        <x:v>S6-02-AC03</x:v>
      </x:c>
      <x:c r="B159" s="18" t="str">
        <x:v>S6-02</x:v>
      </x:c>
      <x:c r="C159" s="18" t="n">
        <x:v>6</x:v>
      </x:c>
      <x:c r="D159" s="18" t="str">
        <x:v>EP-06</x:v>
      </x:c>
      <x:c r="E159" s="18" t="str">
        <x:v>Nhân viên tuyển dụng</x:v>
      </x:c>
      <x:c r="F159" s="18" t="n">
        <x:v>3</x:v>
      </x:c>
      <x:c r="G159" s="18" t="str">
        <x:v>Không đặt được lịch ở quá khứ</x:v>
      </x:c>
      <x:c r="H159" s="18" t="str">
        <x:v>4. Product Backlog!F67</x:v>
      </x:c>
      <x:c r="I159" s="18" t="str">
        <x:v>TC-S6-02-03</x:v>
      </x:c>
    </x:row>
    <x:row r="160" ht="61" customHeight="1">
      <x:c r="A160" s="18" t="str">
        <x:v>S6-02-AC04</x:v>
      </x:c>
      <x:c r="B160" s="18" t="str">
        <x:v>S6-02</x:v>
      </x:c>
      <x:c r="C160" s="18" t="n">
        <x:v>6</x:v>
      </x:c>
      <x:c r="D160" s="18" t="str">
        <x:v>EP-06</x:v>
      </x:c>
      <x:c r="E160" s="18" t="str">
        <x:v>Nhân viên tuyển dụng</x:v>
      </x:c>
      <x:c r="F160" s="18" t="n">
        <x:v>4</x:v>
      </x:c>
      <x:c r="G160" s="18" t="str">
        <x:v>Lịch được tạo hiển thị ngay trên hồ sơ ứng viên và trên lịch của người phỏng vấn</x:v>
      </x:c>
      <x:c r="H160" s="18" t="str">
        <x:v>4. Product Backlog!F67</x:v>
      </x:c>
      <x:c r="I160" s="18" t="str">
        <x:v>TC-S6-02-04</x:v>
      </x:c>
    </x:row>
    <x:row r="161" ht="61" customHeight="1">
      <x:c r="A161" s="18" t="str">
        <x:v>S6-03-AC01</x:v>
      </x:c>
      <x:c r="B161" s="18" t="str">
        <x:v>S6-03</x:v>
      </x:c>
      <x:c r="C161" s="18" t="n">
        <x:v>6</x:v>
      </x:c>
      <x:c r="D161" s="18" t="str">
        <x:v>EP-06</x:v>
      </x:c>
      <x:c r="E161" s="18" t="str">
        <x:v>Nhân viên tuyển dụng</x:v>
      </x:c>
      <x:c r="F161" s="18" t="n">
        <x:v>1</x:v>
      </x:c>
      <x:c r="G161" s="18" t="str">
        <x:v>Chọn nhiều ứng viên và một khung giờ, hệ thống chia khe thời gian liên tiếp</x:v>
      </x:c>
      <x:c r="H161" s="18" t="str">
        <x:v>4. Product Backlog!F68</x:v>
      </x:c>
      <x:c r="I161" s="18" t="str">
        <x:v>TC-S6-03-01</x:v>
      </x:c>
    </x:row>
    <x:row r="162" ht="61" customHeight="1">
      <x:c r="A162" s="18" t="str">
        <x:v>S6-03-AC02</x:v>
      </x:c>
      <x:c r="B162" s="18" t="str">
        <x:v>S6-03</x:v>
      </x:c>
      <x:c r="C162" s="18" t="n">
        <x:v>6</x:v>
      </x:c>
      <x:c r="D162" s="18" t="str">
        <x:v>EP-06</x:v>
      </x:c>
      <x:c r="E162" s="18" t="str">
        <x:v>Nhân viên tuyển dụng</x:v>
      </x:c>
      <x:c r="F162" s="18" t="n">
        <x:v>2</x:v>
      </x:c>
      <x:c r="G162" s="18" t="str">
        <x:v>Xem trước toàn bộ khe giờ trước khi xác nhận</x:v>
      </x:c>
      <x:c r="H162" s="18" t="str">
        <x:v>4. Product Backlog!F68</x:v>
      </x:c>
      <x:c r="I162" s="18" t="str">
        <x:v>TC-S6-03-02</x:v>
      </x:c>
    </x:row>
    <x:row r="163" ht="61" customHeight="1">
      <x:c r="A163" s="18" t="str">
        <x:v>S6-03-AC03</x:v>
      </x:c>
      <x:c r="B163" s="18" t="str">
        <x:v>S6-03</x:v>
      </x:c>
      <x:c r="C163" s="18" t="n">
        <x:v>6</x:v>
      </x:c>
      <x:c r="D163" s="18" t="str">
        <x:v>EP-06</x:v>
      </x:c>
      <x:c r="E163" s="18" t="str">
        <x:v>Nhân viên tuyển dụng</x:v>
      </x:c>
      <x:c r="F163" s="18" t="n">
        <x:v>3</x:v>
      </x:c>
      <x:c r="G163" s="18" t="str">
        <x:v>Thư mời được gửi cho từng ứng viên với đúng khe giờ của họ</x:v>
      </x:c>
      <x:c r="H163" s="18" t="str">
        <x:v>4. Product Backlog!F68</x:v>
      </x:c>
      <x:c r="I163" s="18" t="str">
        <x:v>TC-S6-03-03</x:v>
      </x:c>
    </x:row>
    <x:row r="164" ht="61" customHeight="1">
      <x:c r="A164" s="18" t="str">
        <x:v>S6-04-AC01</x:v>
      </x:c>
      <x:c r="B164" s="18" t="str">
        <x:v>S6-04</x:v>
      </x:c>
      <x:c r="C164" s="18" t="n">
        <x:v>6</x:v>
      </x:c>
      <x:c r="D164" s="18" t="str">
        <x:v>EP-06</x:v>
      </x:c>
      <x:c r="E164" s="18" t="str">
        <x:v>Nhân viên tuyển dụng</x:v>
      </x:c>
      <x:c r="F164" s="18" t="n">
        <x:v>1</x:v>
      </x:c>
      <x:c r="G164" s="18" t="str">
        <x:v>Kiểm tra trùng theo từng người phỏng vấn và theo phòng trong cùng khung giờ</x:v>
      </x:c>
      <x:c r="H164" s="18" t="str">
        <x:v>4. Product Backlog!F69</x:v>
      </x:c>
      <x:c r="I164" s="18" t="str">
        <x:v>TC-S6-04-01</x:v>
      </x:c>
    </x:row>
    <x:row r="165" ht="61" customHeight="1">
      <x:c r="A165" s="18" t="str">
        <x:v>S6-04-AC02</x:v>
      </x:c>
      <x:c r="B165" s="18" t="str">
        <x:v>S6-04</x:v>
      </x:c>
      <x:c r="C165" s="18" t="n">
        <x:v>6</x:v>
      </x:c>
      <x:c r="D165" s="18" t="str">
        <x:v>EP-06</x:v>
      </x:c>
      <x:c r="E165" s="18" t="str">
        <x:v>Nhân viên tuyển dụng</x:v>
      </x:c>
      <x:c r="F165" s="18" t="n">
        <x:v>2</x:v>
      </x:c>
      <x:c r="G165" s="18" t="str">
        <x:v>Hiển thị rõ buổi nào đang xung đột với buổi nào</x:v>
      </x:c>
      <x:c r="H165" s="18" t="str">
        <x:v>4. Product Backlog!F69</x:v>
      </x:c>
      <x:c r="I165" s="18" t="str">
        <x:v>TC-S6-04-02</x:v>
      </x:c>
    </x:row>
    <x:row r="166" ht="61" customHeight="1">
      <x:c r="A166" s="18" t="str">
        <x:v>S6-04-AC03</x:v>
      </x:c>
      <x:c r="B166" s="18" t="str">
        <x:v>S6-04</x:v>
      </x:c>
      <x:c r="C166" s="18" t="n">
        <x:v>6</x:v>
      </x:c>
      <x:c r="D166" s="18" t="str">
        <x:v>EP-06</x:v>
      </x:c>
      <x:c r="E166" s="18" t="str">
        <x:v>Nhân viên tuyển dụng</x:v>
      </x:c>
      <x:c r="F166" s="18" t="n">
        <x:v>3</x:v>
      </x:c>
      <x:c r="G166" s="18" t="str">
        <x:v>Trùng là lỗi chặn, không cho lưu, trừ khi recruiter xác nhận ghi đè kèm lý do</x:v>
      </x:c>
      <x:c r="H166" s="18" t="str">
        <x:v>4. Product Backlog!F69</x:v>
      </x:c>
      <x:c r="I166" s="18" t="str">
        <x:v>TC-S6-04-03</x:v>
      </x:c>
    </x:row>
    <x:row r="167" ht="61" customHeight="1">
      <x:c r="A167" s="18" t="str">
        <x:v>S6-05-AC01</x:v>
      </x:c>
      <x:c r="B167" s="18" t="str">
        <x:v>S6-05</x:v>
      </x:c>
      <x:c r="C167" s="18" t="n">
        <x:v>6</x:v>
      </x:c>
      <x:c r="D167" s="18" t="str">
        <x:v>EP-06</x:v>
      </x:c>
      <x:c r="E167" s="18" t="str">
        <x:v>Ứng viên</x:v>
      </x:c>
      <x:c r="F167" s="18" t="n">
        <x:v>1</x:v>
      </x:c>
      <x:c r="G167" s="18" t="str">
        <x:v>Email chứa thời gian, địa điểm hoặc liên kết họp, tên vị trí, hướng dẫn chuẩn bị</x:v>
      </x:c>
      <x:c r="H167" s="18" t="str">
        <x:v>4. Product Backlog!F70</x:v>
      </x:c>
      <x:c r="I167" s="18" t="str">
        <x:v>TC-S6-05-01</x:v>
      </x:c>
    </x:row>
    <x:row r="168" ht="61" customHeight="1">
      <x:c r="A168" s="18" t="str">
        <x:v>S6-05-AC02</x:v>
      </x:c>
      <x:c r="B168" s="18" t="str">
        <x:v>S6-05</x:v>
      </x:c>
      <x:c r="C168" s="18" t="n">
        <x:v>6</x:v>
      </x:c>
      <x:c r="D168" s="18" t="str">
        <x:v>EP-06</x:v>
      </x:c>
      <x:c r="E168" s="18" t="str">
        <x:v>Ứng viên</x:v>
      </x:c>
      <x:c r="F168" s="18" t="n">
        <x:v>2</x:v>
      </x:c>
      <x:c r="G168" s="18" t="str">
        <x:v>Ứng viên bấm xác nhận hoặc đề nghị đổi lịch qua liên kết trong thư</x:v>
      </x:c>
      <x:c r="H168" s="18" t="str">
        <x:v>4. Product Backlog!F70</x:v>
      </x:c>
      <x:c r="I168" s="18" t="str">
        <x:v>TC-S6-05-02</x:v>
      </x:c>
    </x:row>
    <x:row r="169" ht="61" customHeight="1">
      <x:c r="A169" s="18" t="str">
        <x:v>S6-05-AC03</x:v>
      </x:c>
      <x:c r="B169" s="18" t="str">
        <x:v>S6-05</x:v>
      </x:c>
      <x:c r="C169" s="18" t="n">
        <x:v>6</x:v>
      </x:c>
      <x:c r="D169" s="18" t="str">
        <x:v>EP-06</x:v>
      </x:c>
      <x:c r="E169" s="18" t="str">
        <x:v>Ứng viên</x:v>
      </x:c>
      <x:c r="F169" s="18" t="n">
        <x:v>3</x:v>
      </x:c>
      <x:c r="G169" s="18" t="str">
        <x:v>Trạng thái xác nhận hiển thị cho recruiter</x:v>
      </x:c>
      <x:c r="H169" s="18" t="str">
        <x:v>4. Product Backlog!F70</x:v>
      </x:c>
      <x:c r="I169" s="18" t="str">
        <x:v>TC-S6-05-03</x:v>
      </x:c>
    </x:row>
    <x:row r="170" ht="61" customHeight="1">
      <x:c r="A170" s="18" t="str">
        <x:v>S6-05-AC04</x:v>
      </x:c>
      <x:c r="B170" s="18" t="str">
        <x:v>S6-05</x:v>
      </x:c>
      <x:c r="C170" s="18" t="n">
        <x:v>6</x:v>
      </x:c>
      <x:c r="D170" s="18" t="str">
        <x:v>EP-06</x:v>
      </x:c>
      <x:c r="E170" s="18" t="str">
        <x:v>Ứng viên</x:v>
      </x:c>
      <x:c r="F170" s="18" t="n">
        <x:v>4</x:v>
      </x:c>
      <x:c r="G170" s="18" t="str">
        <x:v>Liên kết chỉ dùng được cho đúng buổi phỏng vấn đó</x:v>
      </x:c>
      <x:c r="H170" s="18" t="str">
        <x:v>4. Product Backlog!F70</x:v>
      </x:c>
      <x:c r="I170" s="18" t="str">
        <x:v>TC-S6-05-04</x:v>
      </x:c>
    </x:row>
    <x:row r="171" ht="61" customHeight="1">
      <x:c r="A171" s="18" t="str">
        <x:v>S6-06-AC01</x:v>
      </x:c>
      <x:c r="B171" s="18" t="str">
        <x:v>S6-06</x:v>
      </x:c>
      <x:c r="C171" s="18" t="n">
        <x:v>6</x:v>
      </x:c>
      <x:c r="D171" s="18" t="str">
        <x:v>EP-06</x:v>
      </x:c>
      <x:c r="E171" s="18" t="str">
        <x:v>Nhân viên tuyển dụng</x:v>
      </x:c>
      <x:c r="F171" s="18" t="n">
        <x:v>1</x:v>
      </x:c>
      <x:c r="G171" s="18" t="str">
        <x:v>Đổi được ngày giờ, hình thức và danh sách người phỏng vấn</x:v>
      </x:c>
      <x:c r="H171" s="18" t="str">
        <x:v>4. Product Backlog!F71</x:v>
      </x:c>
      <x:c r="I171" s="18" t="str">
        <x:v>TC-S6-06-01</x:v>
      </x:c>
    </x:row>
    <x:row r="172" ht="61" customHeight="1">
      <x:c r="A172" s="18" t="str">
        <x:v>S6-06-AC02</x:v>
      </x:c>
      <x:c r="B172" s="18" t="str">
        <x:v>S6-06</x:v>
      </x:c>
      <x:c r="C172" s="18" t="n">
        <x:v>6</x:v>
      </x:c>
      <x:c r="D172" s="18" t="str">
        <x:v>EP-06</x:v>
      </x:c>
      <x:c r="E172" s="18" t="str">
        <x:v>Nhân viên tuyển dụng</x:v>
      </x:c>
      <x:c r="F172" s="18" t="n">
        <x:v>2</x:v>
      </x:c>
      <x:c r="G172" s="18" t="str">
        <x:v>Huỷ bắt buộc nhập lý do</x:v>
      </x:c>
      <x:c r="H172" s="18" t="str">
        <x:v>4. Product Backlog!F71</x:v>
      </x:c>
      <x:c r="I172" s="18" t="str">
        <x:v>TC-S6-06-02</x:v>
      </x:c>
    </x:row>
    <x:row r="173" ht="61" customHeight="1">
      <x:c r="A173" s="18" t="str">
        <x:v>S6-06-AC03</x:v>
      </x:c>
      <x:c r="B173" s="18" t="str">
        <x:v>S6-06</x:v>
      </x:c>
      <x:c r="C173" s="18" t="n">
        <x:v>6</x:v>
      </x:c>
      <x:c r="D173" s="18" t="str">
        <x:v>EP-06</x:v>
      </x:c>
      <x:c r="E173" s="18" t="str">
        <x:v>Nhân viên tuyển dụng</x:v>
      </x:c>
      <x:c r="F173" s="18" t="n">
        <x:v>3</x:v>
      </x:c>
      <x:c r="G173" s="18" t="str">
        <x:v>Ứng viên và toàn bộ người phỏng vấn nhận được thông báo thay đổi</x:v>
      </x:c>
      <x:c r="H173" s="18" t="str">
        <x:v>4. Product Backlog!F71</x:v>
      </x:c>
      <x:c r="I173" s="18" t="str">
        <x:v>TC-S6-06-03</x:v>
      </x:c>
    </x:row>
    <x:row r="174" ht="61" customHeight="1">
      <x:c r="A174" s="18" t="str">
        <x:v>S6-06-AC04</x:v>
      </x:c>
      <x:c r="B174" s="18" t="str">
        <x:v>S6-06</x:v>
      </x:c>
      <x:c r="C174" s="18" t="n">
        <x:v>6</x:v>
      </x:c>
      <x:c r="D174" s="18" t="str">
        <x:v>EP-06</x:v>
      </x:c>
      <x:c r="E174" s="18" t="str">
        <x:v>Nhân viên tuyển dụng</x:v>
      </x:c>
      <x:c r="F174" s="18" t="n">
        <x:v>4</x:v>
      </x:c>
      <x:c r="G174" s="18" t="str">
        <x:v>Không sửa được buổi đã có phiếu đánh giá nộp</x:v>
      </x:c>
      <x:c r="H174" s="18" t="str">
        <x:v>4. Product Backlog!F71</x:v>
      </x:c>
      <x:c r="I174" s="18" t="str">
        <x:v>TC-S6-06-04</x:v>
      </x:c>
    </x:row>
    <x:row r="175" ht="61" customHeight="1">
      <x:c r="A175" s="18" t="str">
        <x:v>S6-07-AC01</x:v>
      </x:c>
      <x:c r="B175" s="18" t="str">
        <x:v>S6-07</x:v>
      </x:c>
      <x:c r="C175" s="18" t="n">
        <x:v>6</x:v>
      </x:c>
      <x:c r="D175" s="18" t="str">
        <x:v>EP-06</x:v>
      </x:c>
      <x:c r="E175" s="18" t="str">
        <x:v>Trưởng phòng Nhân sự</x:v>
      </x:c>
      <x:c r="F175" s="18" t="n">
        <x:v>1</x:v>
      </x:c>
      <x:c r="G175" s="18" t="str">
        <x:v>Phiếu gồm đúng các tiêu chí và trọng số đã khai báo ở khung năng lực</x:v>
      </x:c>
      <x:c r="H175" s="18" t="str">
        <x:v>4. Product Backlog!F72</x:v>
      </x:c>
      <x:c r="I175" s="18" t="str">
        <x:v>TC-S6-07-01</x:v>
      </x:c>
    </x:row>
    <x:row r="176" ht="61" customHeight="1">
      <x:c r="A176" s="18" t="str">
        <x:v>S6-07-AC02</x:v>
      </x:c>
      <x:c r="B176" s="18" t="str">
        <x:v>S6-07</x:v>
      </x:c>
      <x:c r="C176" s="18" t="n">
        <x:v>6</x:v>
      </x:c>
      <x:c r="D176" s="18" t="str">
        <x:v>EP-06</x:v>
      </x:c>
      <x:c r="E176" s="18" t="str">
        <x:v>Trưởng phòng Nhân sự</x:v>
      </x:c>
      <x:c r="F176" s="18" t="n">
        <x:v>2</x:v>
      </x:c>
      <x:c r="G176" s="18" t="str">
        <x:v>Mỗi tiêu chí chấm theo thang 1–5 kèm ô nhận xét</x:v>
      </x:c>
      <x:c r="H176" s="18" t="str">
        <x:v>4. Product Backlog!F72</x:v>
      </x:c>
      <x:c r="I176" s="18" t="str">
        <x:v>TC-S6-07-02</x:v>
      </x:c>
    </x:row>
    <x:row r="177" ht="61" customHeight="1">
      <x:c r="A177" s="18" t="str">
        <x:v>S6-07-AC03</x:v>
      </x:c>
      <x:c r="B177" s="18" t="str">
        <x:v>S6-07</x:v>
      </x:c>
      <x:c r="C177" s="18" t="n">
        <x:v>6</x:v>
      </x:c>
      <x:c r="D177" s="18" t="str">
        <x:v>EP-06</x:v>
      </x:c>
      <x:c r="E177" s="18" t="str">
        <x:v>Trưởng phòng Nhân sự</x:v>
      </x:c>
      <x:c r="F177" s="18" t="n">
        <x:v>3</x:v>
      </x:c>
      <x:c r="G177" s="18" t="str">
        <x:v>Điểm tổng tính tự động theo trọng số</x:v>
      </x:c>
      <x:c r="H177" s="18" t="str">
        <x:v>4. Product Backlog!F72</x:v>
      </x:c>
      <x:c r="I177" s="18" t="str">
        <x:v>TC-S6-07-03</x:v>
      </x:c>
    </x:row>
    <x:row r="178" ht="61" customHeight="1">
      <x:c r="A178" s="18" t="str">
        <x:v>S6-07-AC04</x:v>
      </x:c>
      <x:c r="B178" s="18" t="str">
        <x:v>S6-07</x:v>
      </x:c>
      <x:c r="C178" s="18" t="n">
        <x:v>6</x:v>
      </x:c>
      <x:c r="D178" s="18" t="str">
        <x:v>EP-06</x:v>
      </x:c>
      <x:c r="E178" s="18" t="str">
        <x:v>Trưởng phòng Nhân sự</x:v>
      </x:c>
      <x:c r="F178" s="18" t="n">
        <x:v>4</x:v>
      </x:c>
      <x:c r="G178" s="18" t="str">
        <x:v>Khung năng lực thay đổi không làm hỏng các phiếu đã nộp trước đó</x:v>
      </x:c>
      <x:c r="H178" s="18" t="str">
        <x:v>4. Product Backlog!F72</x:v>
      </x:c>
      <x:c r="I178" s="18" t="str">
        <x:v>TC-S6-07-04</x:v>
      </x:c>
    </x:row>
    <x:row r="179" ht="61" customHeight="1">
      <x:c r="A179" s="18" t="str">
        <x:v>S6-08-AC01</x:v>
      </x:c>
      <x:c r="B179" s="18" t="str">
        <x:v>S6-08</x:v>
      </x:c>
      <x:c r="C179" s="18" t="n">
        <x:v>6</x:v>
      </x:c>
      <x:c r="D179" s="18" t="str">
        <x:v>EP-06</x:v>
      </x:c>
      <x:c r="E179" s="18" t="str">
        <x:v>Người phỏng vấn</x:v>
      </x:c>
      <x:c r="F179" s="18" t="n">
        <x:v>1</x:v>
      </x:c>
      <x:c r="G179" s="18" t="str">
        <x:v>Chỉ người phỏng vấn được mời mới mở được phiếu của buổi đó</x:v>
      </x:c>
      <x:c r="H179" s="18" t="str">
        <x:v>4. Product Backlog!F73</x:v>
      </x:c>
      <x:c r="I179" s="18" t="str">
        <x:v>TC-S6-08-01</x:v>
      </x:c>
    </x:row>
    <x:row r="180" ht="61" customHeight="1">
      <x:c r="A180" s="18" t="str">
        <x:v>S6-08-AC02</x:v>
      </x:c>
      <x:c r="B180" s="18" t="str">
        <x:v>S6-08</x:v>
      </x:c>
      <x:c r="C180" s="18" t="n">
        <x:v>6</x:v>
      </x:c>
      <x:c r="D180" s="18" t="str">
        <x:v>EP-06</x:v>
      </x:c>
      <x:c r="E180" s="18" t="str">
        <x:v>Người phỏng vấn</x:v>
      </x:c>
      <x:c r="F180" s="18" t="n">
        <x:v>2</x:v>
      </x:c>
      <x:c r="G180" s="18" t="str">
        <x:v>Bắt buộc chọn kết luận: Nên tuyển, Cân nhắc, Không nên tuyển</x:v>
      </x:c>
      <x:c r="H180" s="18" t="str">
        <x:v>4. Product Backlog!F73</x:v>
      </x:c>
      <x:c r="I180" s="18" t="str">
        <x:v>TC-S6-08-02</x:v>
      </x:c>
    </x:row>
    <x:row r="181" ht="61" customHeight="1">
      <x:c r="A181" s="18" t="str">
        <x:v>S6-08-AC03</x:v>
      </x:c>
      <x:c r="B181" s="18" t="str">
        <x:v>S6-08</x:v>
      </x:c>
      <x:c r="C181" s="18" t="n">
        <x:v>6</x:v>
      </x:c>
      <x:c r="D181" s="18" t="str">
        <x:v>EP-06</x:v>
      </x:c>
      <x:c r="E181" s="18" t="str">
        <x:v>Người phỏng vấn</x:v>
      </x:c>
      <x:c r="F181" s="18" t="n">
        <x:v>3</x:v>
      </x:c>
      <x:c r="G181" s="18" t="str">
        <x:v>Đã nộp thì không sửa được, trừ khi recruiter mở lại trong 24 giờ</x:v>
      </x:c>
      <x:c r="H181" s="18" t="str">
        <x:v>4. Product Backlog!F73</x:v>
      </x:c>
      <x:c r="I181" s="18" t="str">
        <x:v>TC-S6-08-03</x:v>
      </x:c>
    </x:row>
    <x:row r="182" ht="61" customHeight="1">
      <x:c r="A182" s="18" t="str">
        <x:v>S6-08-AC04</x:v>
      </x:c>
      <x:c r="B182" s="18" t="str">
        <x:v>S6-08</x:v>
      </x:c>
      <x:c r="C182" s="18" t="n">
        <x:v>6</x:v>
      </x:c>
      <x:c r="D182" s="18" t="str">
        <x:v>EP-06</x:v>
      </x:c>
      <x:c r="E182" s="18" t="str">
        <x:v>Người phỏng vấn</x:v>
      </x:c>
      <x:c r="F182" s="18" t="n">
        <x:v>4</x:v>
      </x:c>
      <x:c r="G182" s="18" t="str">
        <x:v>Không nhìn thấy đánh giá của người khác trước khi nộp phiếu của mình</x:v>
      </x:c>
      <x:c r="H182" s="18" t="str">
        <x:v>4. Product Backlog!F73</x:v>
      </x:c>
      <x:c r="I182" s="18" t="str">
        <x:v>TC-S6-08-04</x:v>
      </x:c>
    </x:row>
    <x:row r="183" ht="61" customHeight="1">
      <x:c r="A183" s="18" t="str">
        <x:v>S6-09-AC01</x:v>
      </x:c>
      <x:c r="B183" s="18" t="str">
        <x:v>S6-09</x:v>
      </x:c>
      <x:c r="C183" s="18" t="n">
        <x:v>6</x:v>
      </x:c>
      <x:c r="D183" s="18" t="str">
        <x:v>EP-06</x:v>
      </x:c>
      <x:c r="E183" s="18" t="str">
        <x:v>Trưởng bộ phận</x:v>
      </x:c>
      <x:c r="F183" s="18" t="n">
        <x:v>1</x:v>
      </x:c>
      <x:c r="G183" s="18" t="str">
        <x:v>Bảng so sánh hiển thị điểm từng tiêu chí của các ứng viên vào vòng cuối</x:v>
      </x:c>
      <x:c r="H183" s="18" t="str">
        <x:v>4. Product Backlog!F74</x:v>
      </x:c>
      <x:c r="I183" s="18" t="str">
        <x:v>TC-S6-09-01</x:v>
      </x:c>
    </x:row>
    <x:row r="184" ht="61" customHeight="1">
      <x:c r="A184" s="18" t="str">
        <x:v>S6-09-AC02</x:v>
      </x:c>
      <x:c r="B184" s="18" t="str">
        <x:v>S6-09</x:v>
      </x:c>
      <x:c r="C184" s="18" t="n">
        <x:v>6</x:v>
      </x:c>
      <x:c r="D184" s="18" t="str">
        <x:v>EP-06</x:v>
      </x:c>
      <x:c r="E184" s="18" t="str">
        <x:v>Trưởng bộ phận</x:v>
      </x:c>
      <x:c r="F184" s="18" t="n">
        <x:v>2</x:v>
      </x:c>
      <x:c r="G184" s="18" t="str">
        <x:v>Sắp xếp theo điểm tổng</x:v>
      </x:c>
      <x:c r="H184" s="18" t="str">
        <x:v>4. Product Backlog!F74</x:v>
      </x:c>
      <x:c r="I184" s="18" t="str">
        <x:v>TC-S6-09-02</x:v>
      </x:c>
    </x:row>
    <x:row r="185" ht="61" customHeight="1">
      <x:c r="A185" s="18" t="str">
        <x:v>S6-09-AC03</x:v>
      </x:c>
      <x:c r="B185" s="18" t="str">
        <x:v>S6-09</x:v>
      </x:c>
      <x:c r="C185" s="18" t="n">
        <x:v>6</x:v>
      </x:c>
      <x:c r="D185" s="18" t="str">
        <x:v>EP-06</x:v>
      </x:c>
      <x:c r="E185" s="18" t="str">
        <x:v>Trưởng bộ phận</x:v>
      </x:c>
      <x:c r="F185" s="18" t="n">
        <x:v>3</x:v>
      </x:c>
      <x:c r="G185" s="18" t="str">
        <x:v>Chỉ hiện ứng viên đã có tối thiểu một phiếu đánh giá đã nộp</x:v>
      </x:c>
      <x:c r="H185" s="18" t="str">
        <x:v>4. Product Backlog!F74</x:v>
      </x:c>
      <x:c r="I185" s="18" t="str">
        <x:v>TC-S6-09-03</x:v>
      </x:c>
    </x:row>
    <x:row r="186" ht="61" customHeight="1">
      <x:c r="A186" s="18" t="str">
        <x:v>S7-01-AC01</x:v>
      </x:c>
      <x:c r="B186" s="18" t="str">
        <x:v>S7-01</x:v>
      </x:c>
      <x:c r="C186" s="18" t="n">
        <x:v>7</x:v>
      </x:c>
      <x:c r="D186" s="18" t="str">
        <x:v>EP-06</x:v>
      </x:c>
      <x:c r="E186" s="18" t="str">
        <x:v>Người phỏng vấn</x:v>
      </x:c>
      <x:c r="F186" s="18" t="n">
        <x:v>1</x:v>
      </x:c>
      <x:c r="G186" s="18" t="str">
        <x:v>Hiển thị các buổi sắp tới kèm tên ứng viên, vị trí, liên kết mở CV</x:v>
      </x:c>
      <x:c r="H186" s="18" t="str">
        <x:v>4. Product Backlog!F77</x:v>
      </x:c>
      <x:c r="I186" s="18" t="str">
        <x:v>TC-S7-01-01</x:v>
      </x:c>
    </x:row>
    <x:row r="187" ht="61" customHeight="1">
      <x:c r="A187" s="18" t="str">
        <x:v>S7-01-AC02</x:v>
      </x:c>
      <x:c r="B187" s="18" t="str">
        <x:v>S7-01</x:v>
      </x:c>
      <x:c r="C187" s="18" t="n">
        <x:v>7</x:v>
      </x:c>
      <x:c r="D187" s="18" t="str">
        <x:v>EP-06</x:v>
      </x:c>
      <x:c r="E187" s="18" t="str">
        <x:v>Người phỏng vấn</x:v>
      </x:c>
      <x:c r="F187" s="18" t="n">
        <x:v>2</x:v>
      </x:c>
      <x:c r="G187" s="18" t="str">
        <x:v>Đánh dấu rõ buổi nào chưa nộp phiếu đánh giá</x:v>
      </x:c>
      <x:c r="H187" s="18" t="str">
        <x:v>4. Product Backlog!F77</x:v>
      </x:c>
      <x:c r="I187" s="18" t="str">
        <x:v>TC-S7-01-02</x:v>
      </x:c>
    </x:row>
    <x:row r="188" ht="61" customHeight="1">
      <x:c r="A188" s="18" t="str">
        <x:v>S7-01-AC03</x:v>
      </x:c>
      <x:c r="B188" s="18" t="str">
        <x:v>S7-01</x:v>
      </x:c>
      <x:c r="C188" s="18" t="n">
        <x:v>7</x:v>
      </x:c>
      <x:c r="D188" s="18" t="str">
        <x:v>EP-06</x:v>
      </x:c>
      <x:c r="E188" s="18" t="str">
        <x:v>Người phỏng vấn</x:v>
      </x:c>
      <x:c r="F188" s="18" t="n">
        <x:v>3</x:v>
      </x:c>
      <x:c r="G188" s="18" t="str">
        <x:v>Chỉ thấy buổi mình được mời</x:v>
      </x:c>
      <x:c r="H188" s="18" t="str">
        <x:v>4. Product Backlog!F77</x:v>
      </x:c>
      <x:c r="I188" s="18" t="str">
        <x:v>TC-S7-01-03</x:v>
      </x:c>
    </x:row>
    <x:row r="189" ht="61" customHeight="1">
      <x:c r="A189" s="18" t="str">
        <x:v>S7-02-AC01</x:v>
      </x:c>
      <x:c r="B189" s="18" t="str">
        <x:v>S7-02</x:v>
      </x:c>
      <x:c r="C189" s="18" t="n">
        <x:v>7</x:v>
      </x:c>
      <x:c r="D189" s="18" t="str">
        <x:v>EP-06</x:v>
      </x:c>
      <x:c r="E189" s="18" t="str">
        <x:v>Người phỏng vấn</x:v>
      </x:c>
      <x:c r="F189" s="18" t="n">
        <x:v>1</x:v>
      </x:c>
      <x:c r="G189" s="18" t="str">
        <x:v>Câu hỏi được lọc theo chức danh và theo tiêu chí trong phiếu đánh giá</x:v>
      </x:c>
      <x:c r="H189" s="18" t="str">
        <x:v>4. Product Backlog!F78</x:v>
      </x:c>
      <x:c r="I189" s="18" t="str">
        <x:v>TC-S7-02-01</x:v>
      </x:c>
    </x:row>
    <x:row r="190" ht="61" customHeight="1">
      <x:c r="A190" s="18" t="str">
        <x:v>S7-02-AC02</x:v>
      </x:c>
      <x:c r="B190" s="18" t="str">
        <x:v>S7-02</x:v>
      </x:c>
      <x:c r="C190" s="18" t="n">
        <x:v>7</x:v>
      </x:c>
      <x:c r="D190" s="18" t="str">
        <x:v>EP-06</x:v>
      </x:c>
      <x:c r="E190" s="18" t="str">
        <x:v>Người phỏng vấn</x:v>
      </x:c>
      <x:c r="F190" s="18" t="n">
        <x:v>2</x:v>
      </x:c>
      <x:c r="G190" s="18" t="str">
        <x:v>Đánh dấu câu đã hỏi để không hỏi trùng với vòng trước</x:v>
      </x:c>
      <x:c r="H190" s="18" t="str">
        <x:v>4. Product Backlog!F78</x:v>
      </x:c>
      <x:c r="I190" s="18" t="str">
        <x:v>TC-S7-02-02</x:v>
      </x:c>
    </x:row>
    <x:row r="191" ht="61" customHeight="1">
      <x:c r="A191" s="18" t="str">
        <x:v>S7-02-AC03</x:v>
      </x:c>
      <x:c r="B191" s="18" t="str">
        <x:v>S7-02</x:v>
      </x:c>
      <x:c r="C191" s="18" t="n">
        <x:v>7</x:v>
      </x:c>
      <x:c r="D191" s="18" t="str">
        <x:v>EP-06</x:v>
      </x:c>
      <x:c r="E191" s="18" t="str">
        <x:v>Người phỏng vấn</x:v>
      </x:c>
      <x:c r="F191" s="18" t="n">
        <x:v>3</x:v>
      </x:c>
      <x:c r="G191" s="18" t="str">
        <x:v>Xem được gợi ý câu trả lời tốt</x:v>
      </x:c>
      <x:c r="H191" s="18" t="str">
        <x:v>4. Product Backlog!F78</x:v>
      </x:c>
      <x:c r="I191" s="18" t="str">
        <x:v>TC-S7-02-03</x:v>
      </x:c>
    </x:row>
    <x:row r="192" ht="61" customHeight="1">
      <x:c r="A192" s="18" t="str">
        <x:v>S7-03-AC01</x:v>
      </x:c>
      <x:c r="B192" s="18" t="str">
        <x:v>S7-03</x:v>
      </x:c>
      <x:c r="C192" s="18" t="n">
        <x:v>7</x:v>
      </x:c>
      <x:c r="D192" s="18" t="str">
        <x:v>EP-06</x:v>
      </x:c>
      <x:c r="E192" s="18" t="str">
        <x:v>Trưởng bộ phận</x:v>
      </x:c>
      <x:c r="F192" s="18" t="n">
        <x:v>1</x:v>
      </x:c>
      <x:c r="G192" s="18" t="str">
        <x:v>Một màn hình gộp toàn bộ phiếu đánh giá của mọi vòng cho một ứng viên</x:v>
      </x:c>
      <x:c r="H192" s="18" t="str">
        <x:v>4. Product Backlog!F79</x:v>
      </x:c>
      <x:c r="I192" s="18" t="str">
        <x:v>TC-S7-03-01</x:v>
      </x:c>
    </x:row>
    <x:row r="193" ht="61" customHeight="1">
      <x:c r="A193" s="18" t="str">
        <x:v>S7-03-AC02</x:v>
      </x:c>
      <x:c r="B193" s="18" t="str">
        <x:v>S7-03</x:v>
      </x:c>
      <x:c r="C193" s="18" t="n">
        <x:v>7</x:v>
      </x:c>
      <x:c r="D193" s="18" t="str">
        <x:v>EP-06</x:v>
      </x:c>
      <x:c r="E193" s="18" t="str">
        <x:v>Trưởng bộ phận</x:v>
      </x:c>
      <x:c r="F193" s="18" t="n">
        <x:v>2</x:v>
      </x:c>
      <x:c r="G193" s="18" t="str">
        <x:v>Hiển thị điểm trung bình theo tiêu chí và các kết luận</x:v>
      </x:c>
      <x:c r="H193" s="18" t="str">
        <x:v>4. Product Backlog!F79</x:v>
      </x:c>
      <x:c r="I193" s="18" t="str">
        <x:v>TC-S7-03-02</x:v>
      </x:c>
    </x:row>
    <x:row r="194" ht="61" customHeight="1">
      <x:c r="A194" s="18" t="str">
        <x:v>S7-03-AC03</x:v>
      </x:c>
      <x:c r="B194" s="18" t="str">
        <x:v>S7-03</x:v>
      </x:c>
      <x:c r="C194" s="18" t="n">
        <x:v>7</x:v>
      </x:c>
      <x:c r="D194" s="18" t="str">
        <x:v>EP-06</x:v>
      </x:c>
      <x:c r="E194" s="18" t="str">
        <x:v>Trưởng bộ phận</x:v>
      </x:c>
      <x:c r="F194" s="18" t="n">
        <x:v>3</x:v>
      </x:c>
      <x:c r="G194" s="18" t="str">
        <x:v>Chọn quyết định: Chuyển sang đề xuất offer, hoặc Loại kèm lý do</x:v>
      </x:c>
      <x:c r="H194" s="18" t="str">
        <x:v>4. Product Backlog!F79</x:v>
      </x:c>
      <x:c r="I194" s="18" t="str">
        <x:v>TC-S7-03-03</x:v>
      </x:c>
    </x:row>
    <x:row r="195" ht="61" customHeight="1">
      <x:c r="A195" s="18" t="str">
        <x:v>S7-03-AC04</x:v>
      </x:c>
      <x:c r="B195" s="18" t="str">
        <x:v>S7-03</x:v>
      </x:c>
      <x:c r="C195" s="18" t="n">
        <x:v>7</x:v>
      </x:c>
      <x:c r="D195" s="18" t="str">
        <x:v>EP-06</x:v>
      </x:c>
      <x:c r="E195" s="18" t="str">
        <x:v>Trưởng bộ phận</x:v>
      </x:c>
      <x:c r="F195" s="18" t="n">
        <x:v>4</x:v>
      </x:c>
      <x:c r="G195" s="18" t="str">
        <x:v>Quyết định được ghi nhật ký kèm người quyết định</x:v>
      </x:c>
      <x:c r="H195" s="18" t="str">
        <x:v>4. Product Backlog!F79</x:v>
      </x:c>
      <x:c r="I195" s="18" t="str">
        <x:v>TC-S7-03-04</x:v>
      </x:c>
    </x:row>
    <x:row r="196" ht="61" customHeight="1">
      <x:c r="A196" s="18" t="str">
        <x:v>S7-04-AC01</x:v>
      </x:c>
      <x:c r="B196" s="18" t="str">
        <x:v>S7-04</x:v>
      </x:c>
      <x:c r="C196" s="18" t="n">
        <x:v>7</x:v>
      </x:c>
      <x:c r="D196" s="18" t="str">
        <x:v>EP-07</x:v>
      </x:c>
      <x:c r="E196" s="18" t="str">
        <x:v>Nhân viên tuyển dụng</x:v>
      </x:c>
      <x:c r="F196" s="18" t="n">
        <x:v>1</x:v>
      </x:c>
      <x:c r="G196" s="18" t="str">
        <x:v>Khai báo chức danh, mức lương, phụ cấp, ngày dự kiến nhận việc, thời hạn phản hồi</x:v>
      </x:c>
      <x:c r="H196" s="18" t="str">
        <x:v>4. Product Backlog!F80</x:v>
      </x:c>
      <x:c r="I196" s="18" t="str">
        <x:v>TC-S7-04-01</x:v>
      </x:c>
    </x:row>
    <x:row r="197" ht="61" customHeight="1">
      <x:c r="A197" s="18" t="str">
        <x:v>S7-04-AC02</x:v>
      </x:c>
      <x:c r="B197" s="18" t="str">
        <x:v>S7-04</x:v>
      </x:c>
      <x:c r="C197" s="18" t="n">
        <x:v>7</x:v>
      </x:c>
      <x:c r="D197" s="18" t="str">
        <x:v>EP-07</x:v>
      </x:c>
      <x:c r="E197" s="18" t="str">
        <x:v>Nhân viên tuyển dụng</x:v>
      </x:c>
      <x:c r="F197" s="18" t="n">
        <x:v>2</x:v>
      </x:c>
      <x:c r="G197" s="18" t="str">
        <x:v>Mức lương ngoài dải chuẩn của chức danh bắt buộc nhập giải trình</x:v>
      </x:c>
      <x:c r="H197" s="18" t="str">
        <x:v>4. Product Backlog!F80</x:v>
      </x:c>
      <x:c r="I197" s="18" t="str">
        <x:v>TC-S7-04-02</x:v>
      </x:c>
    </x:row>
    <x:row r="198" ht="61" customHeight="1">
      <x:c r="A198" s="18" t="str">
        <x:v>S7-04-AC03</x:v>
      </x:c>
      <x:c r="B198" s="18" t="str">
        <x:v>S7-04</x:v>
      </x:c>
      <x:c r="C198" s="18" t="n">
        <x:v>7</x:v>
      </x:c>
      <x:c r="D198" s="18" t="str">
        <x:v>EP-07</x:v>
      </x:c>
      <x:c r="E198" s="18" t="str">
        <x:v>Nhân viên tuyển dụng</x:v>
      </x:c>
      <x:c r="F198" s="18" t="n">
        <x:v>3</x:v>
      </x:c>
      <x:c r="G198" s="18" t="str">
        <x:v>Lưu nháp và xem trước thư offer trước khi gửi duyệt</x:v>
      </x:c>
      <x:c r="H198" s="18" t="str">
        <x:v>4. Product Backlog!F80</x:v>
      </x:c>
      <x:c r="I198" s="18" t="str">
        <x:v>TC-S7-04-03</x:v>
      </x:c>
    </x:row>
    <x:row r="199" ht="61" customHeight="1">
      <x:c r="A199" s="18" t="str">
        <x:v>S7-04-AC04</x:v>
      </x:c>
      <x:c r="B199" s="18" t="str">
        <x:v>S7-04</x:v>
      </x:c>
      <x:c r="C199" s="18" t="n">
        <x:v>7</x:v>
      </x:c>
      <x:c r="D199" s="18" t="str">
        <x:v>EP-07</x:v>
      </x:c>
      <x:c r="E199" s="18" t="str">
        <x:v>Nhân viên tuyển dụng</x:v>
      </x:c>
      <x:c r="F199" s="18" t="n">
        <x:v>4</x:v>
      </x:c>
      <x:c r="G199" s="18" t="str">
        <x:v>Một ứng viên tại một thời điểm chỉ có một offer đang hiệu lực</x:v>
      </x:c>
      <x:c r="H199" s="18" t="str">
        <x:v>4. Product Backlog!F80</x:v>
      </x:c>
      <x:c r="I199" s="18" t="str">
        <x:v>TC-S7-04-04</x:v>
      </x:c>
    </x:row>
    <x:row r="200" ht="61" customHeight="1">
      <x:c r="A200" s="18" t="str">
        <x:v>S7-05-AC01</x:v>
      </x:c>
      <x:c r="B200" s="18" t="str">
        <x:v>S7-05</x:v>
      </x:c>
      <x:c r="C200" s="18" t="n">
        <x:v>7</x:v>
      </x:c>
      <x:c r="D200" s="18" t="str">
        <x:v>EP-07</x:v>
      </x:c>
      <x:c r="E200" s="18" t="str">
        <x:v>Người duyệt</x:v>
      </x:c>
      <x:c r="F200" s="18" t="n">
        <x:v>1</x:v>
      </x:c>
      <x:c r="G200" s="18" t="str">
        <x:v>Offer trong dải chuẩn do Trưởng phòng Nhân sự duyệt; vượt dải chuẩn tự động thêm cấp duyệt cao hơn</x:v>
      </x:c>
      <x:c r="H200" s="18" t="str">
        <x:v>4. Product Backlog!F81</x:v>
      </x:c>
      <x:c r="I200" s="18" t="str">
        <x:v>TC-S7-05-01</x:v>
      </x:c>
    </x:row>
    <x:row r="201" ht="61" customHeight="1">
      <x:c r="A201" s="18" t="str">
        <x:v>S7-05-AC02</x:v>
      </x:c>
      <x:c r="B201" s="18" t="str">
        <x:v>S7-05</x:v>
      </x:c>
      <x:c r="C201" s="18" t="n">
        <x:v>7</x:v>
      </x:c>
      <x:c r="D201" s="18" t="str">
        <x:v>EP-07</x:v>
      </x:c>
      <x:c r="E201" s="18" t="str">
        <x:v>Người duyệt</x:v>
      </x:c>
      <x:c r="F201" s="18" t="n">
        <x:v>2</x:v>
      </x:c>
      <x:c r="G201" s="18" t="str">
        <x:v>Ba hành động: Duyệt, Từ chối, Yêu cầu sửa — hai hành động sau bắt buộc nhập ý kiến</x:v>
      </x:c>
      <x:c r="H201" s="18" t="str">
        <x:v>4. Product Backlog!F81</x:v>
      </x:c>
      <x:c r="I201" s="18" t="str">
        <x:v>TC-S7-05-02</x:v>
      </x:c>
    </x:row>
    <x:row r="202" ht="61" customHeight="1">
      <x:c r="A202" s="18" t="str">
        <x:v>S7-05-AC03</x:v>
      </x:c>
      <x:c r="B202" s="18" t="str">
        <x:v>S7-05</x:v>
      </x:c>
      <x:c r="C202" s="18" t="n">
        <x:v>7</x:v>
      </x:c>
      <x:c r="D202" s="18" t="str">
        <x:v>EP-07</x:v>
      </x:c>
      <x:c r="E202" s="18" t="str">
        <x:v>Người duyệt</x:v>
      </x:c>
      <x:c r="F202" s="18" t="n">
        <x:v>3</x:v>
      </x:c>
      <x:c r="G202" s="18" t="str">
        <x:v>Lịch sử duyệt không sửa và không xoá được</x:v>
      </x:c>
      <x:c r="H202" s="18" t="str">
        <x:v>4. Product Backlog!F81</x:v>
      </x:c>
      <x:c r="I202" s="18" t="str">
        <x:v>TC-S7-05-03</x:v>
      </x:c>
    </x:row>
    <x:row r="203" ht="61" customHeight="1">
      <x:c r="A203" s="18" t="str">
        <x:v>S7-06-AC01</x:v>
      </x:c>
      <x:c r="B203" s="18" t="str">
        <x:v>S7-06</x:v>
      </x:c>
      <x:c r="C203" s="18" t="n">
        <x:v>7</x:v>
      </x:c>
      <x:c r="D203" s="18" t="str">
        <x:v>EP-07</x:v>
      </x:c>
      <x:c r="E203" s="18" t="str">
        <x:v>Ứng viên</x:v>
      </x:c>
      <x:c r="F203" s="18" t="n">
        <x:v>1</x:v>
      </x:c>
      <x:c r="G203" s="18" t="str">
        <x:v>Email chứa nội dung offer và liên kết phản hồi có hiệu lực tới hết thời hạn</x:v>
      </x:c>
      <x:c r="H203" s="18" t="str">
        <x:v>4. Product Backlog!F82</x:v>
      </x:c>
      <x:c r="I203" s="18" t="str">
        <x:v>TC-S7-06-01</x:v>
      </x:c>
    </x:row>
    <x:row r="204" ht="61" customHeight="1">
      <x:c r="A204" s="18" t="str">
        <x:v>S7-06-AC02</x:v>
      </x:c>
      <x:c r="B204" s="18" t="str">
        <x:v>S7-06</x:v>
      </x:c>
      <x:c r="C204" s="18" t="n">
        <x:v>7</x:v>
      </x:c>
      <x:c r="D204" s="18" t="str">
        <x:v>EP-07</x:v>
      </x:c>
      <x:c r="E204" s="18" t="str">
        <x:v>Ứng viên</x:v>
      </x:c>
      <x:c r="F204" s="18" t="n">
        <x:v>2</x:v>
      </x:c>
      <x:c r="G204" s="18" t="str">
        <x:v>Ứng viên chọn Chấp nhận hoặc Từ chối, có ô ghi ý kiến</x:v>
      </x:c>
      <x:c r="H204" s="18" t="str">
        <x:v>4. Product Backlog!F82</x:v>
      </x:c>
      <x:c r="I204" s="18" t="str">
        <x:v>TC-S7-06-02</x:v>
      </x:c>
    </x:row>
    <x:row r="205" ht="61" customHeight="1">
      <x:c r="A205" s="18" t="str">
        <x:v>S7-06-AC03</x:v>
      </x:c>
      <x:c r="B205" s="18" t="str">
        <x:v>S7-06</x:v>
      </x:c>
      <x:c r="C205" s="18" t="n">
        <x:v>7</x:v>
      </x:c>
      <x:c r="D205" s="18" t="str">
        <x:v>EP-07</x:v>
      </x:c>
      <x:c r="E205" s="18" t="str">
        <x:v>Ứng viên</x:v>
      </x:c>
      <x:c r="F205" s="18" t="n">
        <x:v>3</x:v>
      </x:c>
      <x:c r="G205" s="18" t="str">
        <x:v>Phản hồi cập nhật ngay trạng thái trên pipeline</x:v>
      </x:c>
      <x:c r="H205" s="18" t="str">
        <x:v>4. Product Backlog!F82</x:v>
      </x:c>
      <x:c r="I205" s="18" t="str">
        <x:v>TC-S7-06-03</x:v>
      </x:c>
    </x:row>
    <x:row r="206" ht="61" customHeight="1">
      <x:c r="A206" s="18" t="str">
        <x:v>S7-06-AC04</x:v>
      </x:c>
      <x:c r="B206" s="18" t="str">
        <x:v>S7-06</x:v>
      </x:c>
      <x:c r="C206" s="18" t="n">
        <x:v>7</x:v>
      </x:c>
      <x:c r="D206" s="18" t="str">
        <x:v>EP-07</x:v>
      </x:c>
      <x:c r="E206" s="18" t="str">
        <x:v>Ứng viên</x:v>
      </x:c>
      <x:c r="F206" s="18" t="n">
        <x:v>4</x:v>
      </x:c>
      <x:c r="G206" s="18" t="str">
        <x:v>Quá thời hạn mà không phản hồi thì offer tự chuyển sang Hết hạn</x:v>
      </x:c>
      <x:c r="H206" s="18" t="str">
        <x:v>4. Product Backlog!F82</x:v>
      </x:c>
      <x:c r="I206" s="18" t="str">
        <x:v>TC-S7-06-04</x:v>
      </x:c>
    </x:row>
    <x:row r="207" ht="61" customHeight="1">
      <x:c r="A207" s="18" t="str">
        <x:v>S7-07-AC01</x:v>
      </x:c>
      <x:c r="B207" s="18" t="str">
        <x:v>S7-07</x:v>
      </x:c>
      <x:c r="C207" s="18" t="n">
        <x:v>7</x:v>
      </x:c>
      <x:c r="D207" s="18" t="str">
        <x:v>EP-07</x:v>
      </x:c>
      <x:c r="E207" s="18" t="str">
        <x:v>Nhân viên tuyển dụng</x:v>
      </x:c>
      <x:c r="F207" s="18" t="n">
        <x:v>1</x:v>
      </x:c>
      <x:c r="G207" s="18" t="str">
        <x:v>Ghi lý do từ chối theo danh mục: lương, địa điểm, nhận việc nơi khác, lý do cá nhân</x:v>
      </x:c>
      <x:c r="H207" s="18" t="str">
        <x:v>4. Product Backlog!F83</x:v>
      </x:c>
      <x:c r="I207" s="18" t="str">
        <x:v>TC-S7-07-01</x:v>
      </x:c>
    </x:row>
    <x:row r="208" ht="61" customHeight="1">
      <x:c r="A208" s="18" t="str">
        <x:v>S7-07-AC02</x:v>
      </x:c>
      <x:c r="B208" s="18" t="str">
        <x:v>S7-07</x:v>
      </x:c>
      <x:c r="C208" s="18" t="n">
        <x:v>7</x:v>
      </x:c>
      <x:c r="D208" s="18" t="str">
        <x:v>EP-07</x:v>
      </x:c>
      <x:c r="E208" s="18" t="str">
        <x:v>Nhân viên tuyển dụng</x:v>
      </x:c>
      <x:c r="F208" s="18" t="n">
        <x:v>2</x:v>
      </x:c>
      <x:c r="G208" s="18" t="str">
        <x:v>Tạo được offer sửa đổi, offer cũ chuyển sang trạng thái Đã thay thế</x:v>
      </x:c>
      <x:c r="H208" s="18" t="str">
        <x:v>4. Product Backlog!F83</x:v>
      </x:c>
      <x:c r="I208" s="18" t="str">
        <x:v>TC-S7-07-02</x:v>
      </x:c>
    </x:row>
    <x:row r="209" ht="61" customHeight="1">
      <x:c r="A209" s="18" t="str">
        <x:v>S7-07-AC03</x:v>
      </x:c>
      <x:c r="B209" s="18" t="str">
        <x:v>S7-07</x:v>
      </x:c>
      <x:c r="C209" s="18" t="n">
        <x:v>7</x:v>
      </x:c>
      <x:c r="D209" s="18" t="str">
        <x:v>EP-07</x:v>
      </x:c>
      <x:c r="E209" s="18" t="str">
        <x:v>Nhân viên tuyển dụng</x:v>
      </x:c>
      <x:c r="F209" s="18" t="n">
        <x:v>3</x:v>
      </x:c>
      <x:c r="G209" s="18" t="str">
        <x:v>Ứng viên từ chối được gợi ý đưa vào kho tiềm năng</x:v>
      </x:c>
      <x:c r="H209" s="18" t="str">
        <x:v>4. Product Backlog!F83</x:v>
      </x:c>
      <x:c r="I209" s="18" t="str">
        <x:v>TC-S7-07-03</x:v>
      </x:c>
    </x:row>
    <x:row r="210" ht="61" customHeight="1">
      <x:c r="A210" s="18" t="str">
        <x:v>S7-08-AC01</x:v>
      </x:c>
      <x:c r="B210" s="18" t="str">
        <x:v>S7-08</x:v>
      </x:c>
      <x:c r="C210" s="18" t="n">
        <x:v>7</x:v>
      </x:c>
      <x:c r="D210" s="18" t="str">
        <x:v>EP-07</x:v>
      </x:c>
      <x:c r="E210" s="18" t="str">
        <x:v>Trưởng phòng Nhân sự</x:v>
      </x:c>
      <x:c r="F210" s="18" t="n">
        <x:v>1</x:v>
      </x:c>
      <x:c r="G210" s="18" t="str">
        <x:v>Checklist sinh từ mẫu theo phòng ban: tài khoản, thiết bị, chỗ ngồi, hồ sơ giấy tờ</x:v>
      </x:c>
      <x:c r="H210" s="18" t="str">
        <x:v>4. Product Backlog!F84</x:v>
      </x:c>
      <x:c r="I210" s="18" t="str">
        <x:v>TC-S7-08-01</x:v>
      </x:c>
    </x:row>
    <x:row r="211" ht="61" customHeight="1">
      <x:c r="A211" s="18" t="str">
        <x:v>S7-08-AC02</x:v>
      </x:c>
      <x:c r="B211" s="18" t="str">
        <x:v>S7-08</x:v>
      </x:c>
      <x:c r="C211" s="18" t="n">
        <x:v>7</x:v>
      </x:c>
      <x:c r="D211" s="18" t="str">
        <x:v>EP-07</x:v>
      </x:c>
      <x:c r="E211" s="18" t="str">
        <x:v>Trưởng phòng Nhân sự</x:v>
      </x:c>
      <x:c r="F211" s="18" t="n">
        <x:v>2</x:v>
      </x:c>
      <x:c r="G211" s="18" t="str">
        <x:v>Mỗi mục có người phụ trách và hạn hoàn thành</x:v>
      </x:c>
      <x:c r="H211" s="18" t="str">
        <x:v>4. Product Backlog!F84</x:v>
      </x:c>
      <x:c r="I211" s="18" t="str">
        <x:v>TC-S7-08-02</x:v>
      </x:c>
    </x:row>
    <x:row r="212" ht="61" customHeight="1">
      <x:c r="A212" s="18" t="str">
        <x:v>S7-08-AC03</x:v>
      </x:c>
      <x:c r="B212" s="18" t="str">
        <x:v>S7-08</x:v>
      </x:c>
      <x:c r="C212" s="18" t="n">
        <x:v>7</x:v>
      </x:c>
      <x:c r="D212" s="18" t="str">
        <x:v>EP-07</x:v>
      </x:c>
      <x:c r="E212" s="18" t="str">
        <x:v>Trưởng phòng Nhân sự</x:v>
      </x:c>
      <x:c r="F212" s="18" t="n">
        <x:v>3</x:v>
      </x:c>
      <x:c r="G212" s="18" t="str">
        <x:v>Tiến độ hoàn thành hiển thị theo phần trăm</x:v>
      </x:c>
      <x:c r="H212" s="18" t="str">
        <x:v>4. Product Backlog!F84</x:v>
      </x:c>
      <x:c r="I212" s="18" t="str">
        <x:v>TC-S7-08-03</x:v>
      </x:c>
    </x:row>
    <x:row r="213" ht="61" customHeight="1">
      <x:c r="A213" s="18" t="str">
        <x:v>S7-08-AC04</x:v>
      </x:c>
      <x:c r="B213" s="18" t="str">
        <x:v>S7-08</x:v>
      </x:c>
      <x:c r="C213" s="18" t="n">
        <x:v>7</x:v>
      </x:c>
      <x:c r="D213" s="18" t="str">
        <x:v>EP-07</x:v>
      </x:c>
      <x:c r="E213" s="18" t="str">
        <x:v>Trưởng phòng Nhân sự</x:v>
      </x:c>
      <x:c r="F213" s="18" t="n">
        <x:v>4</x:v>
      </x:c>
      <x:c r="G213" s="18" t="str">
        <x:v>Ứng viên nhận việc chuyển sang trạng thái Đã onboard khi checklist xong</x:v>
      </x:c>
      <x:c r="H213" s="18" t="str">
        <x:v>4. Product Backlog!F84</x:v>
      </x:c>
      <x:c r="I213" s="18" t="str">
        <x:v>TC-S7-08-04</x:v>
      </x:c>
    </x:row>
    <x:row r="214" ht="61" customHeight="1">
      <x:c r="A214" s="18" t="str">
        <x:v>S7-09-AC01</x:v>
      </x:c>
      <x:c r="B214" s="18" t="str">
        <x:v>S7-09</x:v>
      </x:c>
      <x:c r="C214" s="18" t="n">
        <x:v>7</x:v>
      </x:c>
      <x:c r="D214" s="18" t="str">
        <x:v>EP-08</x:v>
      </x:c>
      <x:c r="E214" s="18" t="str">
        <x:v>Nhân viên tuyển dụng</x:v>
      </x:c>
      <x:c r="F214" s="18" t="n">
        <x:v>1</x:v>
      </x:c>
      <x:c r="G214" s="18" t="str">
        <x:v>Chọn nhiều ứng viên cùng trạng thái để gửi một lượt</x:v>
      </x:c>
      <x:c r="H214" s="18" t="str">
        <x:v>4. Product Backlog!F85</x:v>
      </x:c>
      <x:c r="I214" s="18" t="str">
        <x:v>TC-S7-09-01</x:v>
      </x:c>
    </x:row>
    <x:row r="215" ht="61" customHeight="1">
      <x:c r="A215" s="18" t="str">
        <x:v>S7-09-AC02</x:v>
      </x:c>
      <x:c r="B215" s="18" t="str">
        <x:v>S7-09</x:v>
      </x:c>
      <x:c r="C215" s="18" t="n">
        <x:v>7</x:v>
      </x:c>
      <x:c r="D215" s="18" t="str">
        <x:v>EP-08</x:v>
      </x:c>
      <x:c r="E215" s="18" t="str">
        <x:v>Nhân viên tuyển dụng</x:v>
      </x:c>
      <x:c r="F215" s="18" t="n">
        <x:v>2</x:v>
      </x:c>
      <x:c r="G215" s="18" t="str">
        <x:v>Xem trước nội dung thư với dữ liệu thật của từng người trước khi gửi</x:v>
      </x:c>
      <x:c r="H215" s="18" t="str">
        <x:v>4. Product Backlog!F85</x:v>
      </x:c>
      <x:c r="I215" s="18" t="str">
        <x:v>TC-S7-09-02</x:v>
      </x:c>
    </x:row>
    <x:row r="216" ht="61" customHeight="1">
      <x:c r="A216" s="18" t="str">
        <x:v>S7-09-AC03</x:v>
      </x:c>
      <x:c r="B216" s="18" t="str">
        <x:v>S7-09</x:v>
      </x:c>
      <x:c r="C216" s="18" t="n">
        <x:v>7</x:v>
      </x:c>
      <x:c r="D216" s="18" t="str">
        <x:v>EP-08</x:v>
      </x:c>
      <x:c r="E216" s="18" t="str">
        <x:v>Nhân viên tuyển dụng</x:v>
      </x:c>
      <x:c r="F216" s="18" t="n">
        <x:v>3</x:v>
      </x:c>
      <x:c r="G216" s="18" t="str">
        <x:v>Hệ thống chặn gửi trùng cho ứng viên đã nhận thư từ chối</x:v>
      </x:c>
      <x:c r="H216" s="18" t="str">
        <x:v>4. Product Backlog!F85</x:v>
      </x:c>
      <x:c r="I216" s="18" t="str">
        <x:v>TC-S7-09-03</x:v>
      </x:c>
    </x:row>
    <x:row r="217" ht="61" customHeight="1">
      <x:c r="A217" s="18" t="str">
        <x:v>S8-01-AC01</x:v>
      </x:c>
      <x:c r="B217" s="18" t="str">
        <x:v>S8-01</x:v>
      </x:c>
      <x:c r="C217" s="18" t="n">
        <x:v>8</x:v>
      </x:c>
      <x:c r="D217" s="18" t="str">
        <x:v>EP-08</x:v>
      </x:c>
      <x:c r="E217" s="18" t="str">
        <x:v>Trưởng phòng Nhân sự</x:v>
      </x:c>
      <x:c r="F217" s="18" t="n">
        <x:v>1</x:v>
      </x:c>
      <x:c r="G217" s="18" t="str">
        <x:v>Mẫu cho: xác nhận đã nhận hồ sơ, mời phỏng vấn, cảm ơn sau phỏng vấn, thư từ chối, thư offer</x:v>
      </x:c>
      <x:c r="H217" s="18" t="str">
        <x:v>4. Product Backlog!F88</x:v>
      </x:c>
      <x:c r="I217" s="18" t="str">
        <x:v>TC-S8-01-01</x:v>
      </x:c>
    </x:row>
    <x:row r="218" ht="61" customHeight="1">
      <x:c r="A218" s="18" t="str">
        <x:v>S8-01-AC02</x:v>
      </x:c>
      <x:c r="B218" s="18" t="str">
        <x:v>S8-01</x:v>
      </x:c>
      <x:c r="C218" s="18" t="n">
        <x:v>8</x:v>
      </x:c>
      <x:c r="D218" s="18" t="str">
        <x:v>EP-08</x:v>
      </x:c>
      <x:c r="E218" s="18" t="str">
        <x:v>Trưởng phòng Nhân sự</x:v>
      </x:c>
      <x:c r="F218" s="18" t="n">
        <x:v>2</x:v>
      </x:c>
      <x:c r="G218" s="18" t="str">
        <x:v>Mẫu chèn được biến: tên ứng viên, tên vị trí, thời gian phỏng vấn</x:v>
      </x:c>
      <x:c r="H218" s="18" t="str">
        <x:v>4. Product Backlog!F88</x:v>
      </x:c>
      <x:c r="I218" s="18" t="str">
        <x:v>TC-S8-01-02</x:v>
      </x:c>
    </x:row>
    <x:row r="219" ht="61" customHeight="1">
      <x:c r="A219" s="18" t="str">
        <x:v>S8-01-AC03</x:v>
      </x:c>
      <x:c r="B219" s="18" t="str">
        <x:v>S8-01</x:v>
      </x:c>
      <x:c r="C219" s="18" t="n">
        <x:v>8</x:v>
      </x:c>
      <x:c r="D219" s="18" t="str">
        <x:v>EP-08</x:v>
      </x:c>
      <x:c r="E219" s="18" t="str">
        <x:v>Trưởng phòng Nhân sự</x:v>
      </x:c>
      <x:c r="F219" s="18" t="n">
        <x:v>3</x:v>
      </x:c>
      <x:c r="G219" s="18" t="str">
        <x:v>Xem trước với dữ liệu thật trước khi lưu</x:v>
      </x:c>
      <x:c r="H219" s="18" t="str">
        <x:v>4. Product Backlog!F88</x:v>
      </x:c>
      <x:c r="I219" s="18" t="str">
        <x:v>TC-S8-01-03</x:v>
      </x:c>
    </x:row>
    <x:row r="220" ht="61" customHeight="1">
      <x:c r="A220" s="18" t="str">
        <x:v>S8-01-AC04</x:v>
      </x:c>
      <x:c r="B220" s="18" t="str">
        <x:v>S8-01</x:v>
      </x:c>
      <x:c r="C220" s="18" t="n">
        <x:v>8</x:v>
      </x:c>
      <x:c r="D220" s="18" t="str">
        <x:v>EP-08</x:v>
      </x:c>
      <x:c r="E220" s="18" t="str">
        <x:v>Trưởng phòng Nhân sự</x:v>
      </x:c>
      <x:c r="F220" s="18" t="n">
        <x:v>4</x:v>
      </x:c>
      <x:c r="G220" s="18" t="str">
        <x:v>Bật hoặc tắt gửi tự động cho từng loại</x:v>
      </x:c>
      <x:c r="H220" s="18" t="str">
        <x:v>4. Product Backlog!F88</x:v>
      </x:c>
      <x:c r="I220" s="18" t="str">
        <x:v>TC-S8-01-04</x:v>
      </x:c>
    </x:row>
    <x:row r="221" ht="61" customHeight="1">
      <x:c r="A221" s="18" t="str">
        <x:v>S8-02-AC01</x:v>
      </x:c>
      <x:c r="B221" s="18" t="str">
        <x:v>S8-02</x:v>
      </x:c>
      <x:c r="C221" s="18" t="n">
        <x:v>8</x:v>
      </x:c>
      <x:c r="D221" s="18" t="str">
        <x:v>EP-08</x:v>
      </x:c>
      <x:c r="E221" s="18" t="str">
        <x:v>Nhân viên tuyển dụng</x:v>
      </x:c>
      <x:c r="F221" s="18" t="n">
        <x:v>1</x:v>
      </x:c>
      <x:c r="G221" s="18" t="str">
        <x:v>Hiển thị thời điểm gửi, mẫu đã dùng, trạng thái gửi thành công hay thất bại</x:v>
      </x:c>
      <x:c r="H221" s="18" t="str">
        <x:v>4. Product Backlog!F89</x:v>
      </x:c>
      <x:c r="I221" s="18" t="str">
        <x:v>TC-S8-02-01</x:v>
      </x:c>
    </x:row>
    <x:row r="222" ht="61" customHeight="1">
      <x:c r="A222" s="18" t="str">
        <x:v>S8-02-AC02</x:v>
      </x:c>
      <x:c r="B222" s="18" t="str">
        <x:v>S8-02</x:v>
      </x:c>
      <x:c r="C222" s="18" t="n">
        <x:v>8</x:v>
      </x:c>
      <x:c r="D222" s="18" t="str">
        <x:v>EP-08</x:v>
      </x:c>
      <x:c r="E222" s="18" t="str">
        <x:v>Nhân viên tuyển dụng</x:v>
      </x:c>
      <x:c r="F222" s="18" t="n">
        <x:v>2</x:v>
      </x:c>
      <x:c r="G222" s="18" t="str">
        <x:v>Gửi lại được thư thất bại</x:v>
      </x:c>
      <x:c r="H222" s="18" t="str">
        <x:v>4. Product Backlog!F89</x:v>
      </x:c>
      <x:c r="I222" s="18" t="str">
        <x:v>TC-S8-02-02</x:v>
      </x:c>
    </x:row>
    <x:row r="223" ht="61" customHeight="1">
      <x:c r="A223" s="18" t="str">
        <x:v>S8-02-AC03</x:v>
      </x:c>
      <x:c r="B223" s="18" t="str">
        <x:v>S8-02</x:v>
      </x:c>
      <x:c r="C223" s="18" t="n">
        <x:v>8</x:v>
      </x:c>
      <x:c r="D223" s="18" t="str">
        <x:v>EP-08</x:v>
      </x:c>
      <x:c r="E223" s="18" t="str">
        <x:v>Nhân viên tuyển dụng</x:v>
      </x:c>
      <x:c r="F223" s="18" t="n">
        <x:v>3</x:v>
      </x:c>
      <x:c r="G223" s="18" t="str">
        <x:v>Email được gửi bất đồng bộ qua hàng đợi, không làm chậm thao tác gốc</x:v>
      </x:c>
      <x:c r="H223" s="18" t="str">
        <x:v>4. Product Backlog!F89</x:v>
      </x:c>
      <x:c r="I223" s="18" t="str">
        <x:v>TC-S8-02-03</x:v>
      </x:c>
    </x:row>
    <x:row r="224" ht="61" customHeight="1">
      <x:c r="A224" s="18" t="str">
        <x:v>S8-03-AC01</x:v>
      </x:c>
      <x:c r="B224" s="18" t="str">
        <x:v>S8-03</x:v>
      </x:c>
      <x:c r="C224" s="18" t="n">
        <x:v>8</x:v>
      </x:c>
      <x:c r="D224" s="18" t="str">
        <x:v>EP-08</x:v>
      </x:c>
      <x:c r="E224" s="18" t="str">
        <x:v>nhân sự nội bộ</x:v>
      </x:c>
      <x:c r="F224" s="18" t="n">
        <x:v>1</x:v>
      </x:c>
      <x:c r="G224" s="18" t="str">
        <x:v>Kích hoạt khi: có yêu cầu chờ mình duyệt, được phân công vị trí mới, được mời phỏng vấn, ứng viên phản hồi offer</x:v>
      </x:c>
      <x:c r="H224" s="18" t="str">
        <x:v>4. Product Backlog!F90</x:v>
      </x:c>
      <x:c r="I224" s="18" t="str">
        <x:v>TC-S8-03-01</x:v>
      </x:c>
    </x:row>
    <x:row r="225" ht="61" customHeight="1">
      <x:c r="A225" s="18" t="str">
        <x:v>S8-03-AC02</x:v>
      </x:c>
      <x:c r="B225" s="18" t="str">
        <x:v>S8-03</x:v>
      </x:c>
      <x:c r="C225" s="18" t="n">
        <x:v>8</x:v>
      </x:c>
      <x:c r="D225" s="18" t="str">
        <x:v>EP-08</x:v>
      </x:c>
      <x:c r="E225" s="18" t="str">
        <x:v>nhân sự nội bộ</x:v>
      </x:c>
      <x:c r="F225" s="18" t="n">
        <x:v>2</x:v>
      </x:c>
      <x:c r="G225" s="18" t="str">
        <x:v>Biểu tượng chuông hiển thị số thông báo chưa đọc</x:v>
      </x:c>
      <x:c r="H225" s="18" t="str">
        <x:v>4. Product Backlog!F90</x:v>
      </x:c>
      <x:c r="I225" s="18" t="str">
        <x:v>TC-S8-03-02</x:v>
      </x:c>
    </x:row>
    <x:row r="226" ht="61" customHeight="1">
      <x:c r="A226" s="18" t="str">
        <x:v>S8-03-AC03</x:v>
      </x:c>
      <x:c r="B226" s="18" t="str">
        <x:v>S8-03</x:v>
      </x:c>
      <x:c r="C226" s="18" t="n">
        <x:v>8</x:v>
      </x:c>
      <x:c r="D226" s="18" t="str">
        <x:v>EP-08</x:v>
      </x:c>
      <x:c r="E226" s="18" t="str">
        <x:v>nhân sự nội bộ</x:v>
      </x:c>
      <x:c r="F226" s="18" t="n">
        <x:v>3</x:v>
      </x:c>
      <x:c r="G226" s="18" t="str">
        <x:v>Bấm vào thông báo mở đúng màn hình liên quan</x:v>
      </x:c>
      <x:c r="H226" s="18" t="str">
        <x:v>4. Product Backlog!F90</x:v>
      </x:c>
      <x:c r="I226" s="18" t="str">
        <x:v>TC-S8-03-03</x:v>
      </x:c>
    </x:row>
    <x:row r="227" ht="61" customHeight="1">
      <x:c r="A227" s="18" t="str">
        <x:v>S8-03-AC04</x:v>
      </x:c>
      <x:c r="B227" s="18" t="str">
        <x:v>S8-03</x:v>
      </x:c>
      <x:c r="C227" s="18" t="n">
        <x:v>8</x:v>
      </x:c>
      <x:c r="D227" s="18" t="str">
        <x:v>EP-08</x:v>
      </x:c>
      <x:c r="E227" s="18" t="str">
        <x:v>nhân sự nội bộ</x:v>
      </x:c>
      <x:c r="F227" s="18" t="n">
        <x:v>4</x:v>
      </x:c>
      <x:c r="G227" s="18" t="str">
        <x:v>Thông báo sinh bất đồng bộ, không làm chậm thao tác gốc</x:v>
      </x:c>
      <x:c r="H227" s="18" t="str">
        <x:v>4. Product Backlog!F90</x:v>
      </x:c>
      <x:c r="I227" s="18" t="str">
        <x:v>TC-S8-03-04</x:v>
      </x:c>
    </x:row>
    <x:row r="228" ht="61" customHeight="1">
      <x:c r="A228" s="18" t="str">
        <x:v>S8-04-AC01</x:v>
      </x:c>
      <x:c r="B228" s="18" t="str">
        <x:v>S8-04</x:v>
      </x:c>
      <x:c r="C228" s="18" t="n">
        <x:v>8</x:v>
      </x:c>
      <x:c r="D228" s="18" t="str">
        <x:v>EP-08</x:v>
      </x:c>
      <x:c r="E228" s="18" t="str">
        <x:v>nhân sự nội bộ</x:v>
      </x:c>
      <x:c r="F228" s="18" t="n">
        <x:v>1</x:v>
      </x:c>
      <x:c r="G228" s="18" t="str">
        <x:v>Cấu hình riêng cho kênh trong ứng dụng và kênh email</x:v>
      </x:c>
      <x:c r="H228" s="18" t="str">
        <x:v>4. Product Backlog!F91</x:v>
      </x:c>
      <x:c r="I228" s="18" t="str">
        <x:v>TC-S8-04-01</x:v>
      </x:c>
    </x:row>
    <x:row r="229" ht="61" customHeight="1">
      <x:c r="A229" s="18" t="str">
        <x:v>S8-04-AC02</x:v>
      </x:c>
      <x:c r="B229" s="18" t="str">
        <x:v>S8-04</x:v>
      </x:c>
      <x:c r="C229" s="18" t="n">
        <x:v>8</x:v>
      </x:c>
      <x:c r="D229" s="18" t="str">
        <x:v>EP-08</x:v>
      </x:c>
      <x:c r="E229" s="18" t="str">
        <x:v>nhân sự nội bộ</x:v>
      </x:c>
      <x:c r="F229" s="18" t="n">
        <x:v>2</x:v>
      </x:c>
      <x:c r="G229" s="18" t="str">
        <x:v>Thông báo bắt buộc như yêu cầu chờ duyệt thì không tắt được</x:v>
      </x:c>
      <x:c r="H229" s="18" t="str">
        <x:v>4. Product Backlog!F91</x:v>
      </x:c>
      <x:c r="I229" s="18" t="str">
        <x:v>TC-S8-04-02</x:v>
      </x:c>
    </x:row>
    <x:row r="230" ht="61" customHeight="1">
      <x:c r="A230" s="18" t="str">
        <x:v>S8-05-AC01</x:v>
      </x:c>
      <x:c r="B230" s="18" t="str">
        <x:v>S8-05</x:v>
      </x:c>
      <x:c r="C230" s="18" t="n">
        <x:v>8</x:v>
      </x:c>
      <x:c r="D230" s="18" t="str">
        <x:v>EP-09</x:v>
      </x:c>
      <x:c r="E230" s="18" t="str">
        <x:v>Trưởng phòng Nhân sự</x:v>
      </x:c>
      <x:c r="F230" s="18" t="n">
        <x:v>1</x:v>
      </x:c>
      <x:c r="G230" s="18" t="str">
        <x:v>Thẻ chỉ số: vị trí đang mở, hồ sơ mới trong tuần, phỏng vấn sắp tới, offer đang chờ phản hồi</x:v>
      </x:c>
      <x:c r="H230" s="18" t="str">
        <x:v>4. Product Backlog!F92</x:v>
      </x:c>
      <x:c r="I230" s="18" t="str">
        <x:v>TC-S8-05-01</x:v>
      </x:c>
    </x:row>
    <x:row r="231" ht="61" customHeight="1">
      <x:c r="A231" s="18" t="str">
        <x:v>S8-05-AC02</x:v>
      </x:c>
      <x:c r="B231" s="18" t="str">
        <x:v>S8-05</x:v>
      </x:c>
      <x:c r="C231" s="18" t="n">
        <x:v>8</x:v>
      </x:c>
      <x:c r="D231" s="18" t="str">
        <x:v>EP-09</x:v>
      </x:c>
      <x:c r="E231" s="18" t="str">
        <x:v>Trưởng phòng Nhân sự</x:v>
      </x:c>
      <x:c r="F231" s="18" t="n">
        <x:v>2</x:v>
      </x:c>
      <x:c r="G231" s="18" t="str">
        <x:v>Biểu đồ số hồ sơ theo tuần và số vị trí đóng theo tháng</x:v>
      </x:c>
      <x:c r="H231" s="18" t="str">
        <x:v>4. Product Backlog!F92</x:v>
      </x:c>
      <x:c r="I231" s="18" t="str">
        <x:v>TC-S8-05-02</x:v>
      </x:c>
    </x:row>
    <x:row r="232" ht="61" customHeight="1">
      <x:c r="A232" s="18" t="str">
        <x:v>S8-05-AC03</x:v>
      </x:c>
      <x:c r="B232" s="18" t="str">
        <x:v>S8-05</x:v>
      </x:c>
      <x:c r="C232" s="18" t="n">
        <x:v>8</x:v>
      </x:c>
      <x:c r="D232" s="18" t="str">
        <x:v>EP-09</x:v>
      </x:c>
      <x:c r="E232" s="18" t="str">
        <x:v>Trưởng phòng Nhân sự</x:v>
      </x:c>
      <x:c r="F232" s="18" t="n">
        <x:v>3</x:v>
      </x:c>
      <x:c r="G232" s="18" t="str">
        <x:v>Danh sách vị trí trễ hạn so với ngày cần người, xếp theo mức độ trễ</x:v>
      </x:c>
      <x:c r="H232" s="18" t="str">
        <x:v>4. Product Backlog!F92</x:v>
      </x:c>
      <x:c r="I232" s="18" t="str">
        <x:v>TC-S8-05-03</x:v>
      </x:c>
    </x:row>
    <x:row r="233" ht="61" customHeight="1">
      <x:c r="A233" s="18" t="str">
        <x:v>S8-05-AC04</x:v>
      </x:c>
      <x:c r="B233" s="18" t="str">
        <x:v>S8-05</x:v>
      </x:c>
      <x:c r="C233" s="18" t="n">
        <x:v>8</x:v>
      </x:c>
      <x:c r="D233" s="18" t="str">
        <x:v>EP-09</x:v>
      </x:c>
      <x:c r="E233" s="18" t="str">
        <x:v>Trưởng phòng Nhân sự</x:v>
      </x:c>
      <x:c r="F233" s="18" t="n">
        <x:v>4</x:v>
      </x:c>
      <x:c r="G233" s="18" t="str">
        <x:v>Toàn bộ dữ liệu tải xong dưới 2 giây</x:v>
      </x:c>
      <x:c r="H233" s="18" t="str">
        <x:v>4. Product Backlog!F92</x:v>
      </x:c>
      <x:c r="I233" s="18" t="str">
        <x:v>TC-S8-05-04</x:v>
      </x:c>
    </x:row>
    <x:row r="234" ht="61" customHeight="1">
      <x:c r="A234" s="18" t="str">
        <x:v>S8-06-AC01</x:v>
      </x:c>
      <x:c r="B234" s="18" t="str">
        <x:v>S8-06</x:v>
      </x:c>
      <x:c r="C234" s="18" t="n">
        <x:v>8</x:v>
      </x:c>
      <x:c r="D234" s="18" t="str">
        <x:v>EP-09</x:v>
      </x:c>
      <x:c r="E234" s="18" t="str">
        <x:v>Trưởng bộ phận</x:v>
      </x:c>
      <x:c r="F234" s="18" t="n">
        <x:v>1</x:v>
      </x:c>
      <x:c r="G234" s="18" t="str">
        <x:v>Hiển thị số hồ sơ ở từng giai đoạn của riêng vị trí đó</x:v>
      </x:c>
      <x:c r="H234" s="18" t="str">
        <x:v>4. Product Backlog!F93</x:v>
      </x:c>
      <x:c r="I234" s="18" t="str">
        <x:v>TC-S8-06-01</x:v>
      </x:c>
    </x:row>
    <x:row r="235" ht="61" customHeight="1">
      <x:c r="A235" s="18" t="str">
        <x:v>S8-06-AC02</x:v>
      </x:c>
      <x:c r="B235" s="18" t="str">
        <x:v>S8-06</x:v>
      </x:c>
      <x:c r="C235" s="18" t="n">
        <x:v>8</x:v>
      </x:c>
      <x:c r="D235" s="18" t="str">
        <x:v>EP-09</x:v>
      </x:c>
      <x:c r="E235" s="18" t="str">
        <x:v>Trưởng bộ phận</x:v>
      </x:c>
      <x:c r="F235" s="18" t="n">
        <x:v>2</x:v>
      </x:c>
      <x:c r="G235" s="18" t="str">
        <x:v>Lịch phỏng vấn sắp tới và ứng viên đang chờ mình cho ý kiến</x:v>
      </x:c>
      <x:c r="H235" s="18" t="str">
        <x:v>4. Product Backlog!F93</x:v>
      </x:c>
      <x:c r="I235" s="18" t="str">
        <x:v>TC-S8-06-02</x:v>
      </x:c>
    </x:row>
    <x:row r="236" ht="61" customHeight="1">
      <x:c r="A236" s="18" t="str">
        <x:v>S8-06-AC03</x:v>
      </x:c>
      <x:c r="B236" s="18" t="str">
        <x:v>S8-06</x:v>
      </x:c>
      <x:c r="C236" s="18" t="n">
        <x:v>8</x:v>
      </x:c>
      <x:c r="D236" s="18" t="str">
        <x:v>EP-09</x:v>
      </x:c>
      <x:c r="E236" s="18" t="str">
        <x:v>Trưởng bộ phận</x:v>
      </x:c>
      <x:c r="F236" s="18" t="n">
        <x:v>3</x:v>
      </x:c>
      <x:c r="G236" s="18" t="str">
        <x:v>Số ngày còn lại so với ngày cần người</x:v>
      </x:c>
      <x:c r="H236" s="18" t="str">
        <x:v>4. Product Backlog!F93</x:v>
      </x:c>
      <x:c r="I236" s="18" t="str">
        <x:v>TC-S8-06-03</x:v>
      </x:c>
    </x:row>
    <x:row r="237" ht="61" customHeight="1">
      <x:c r="A237" s="18" t="str">
        <x:v>S8-07-AC01</x:v>
      </x:c>
      <x:c r="B237" s="18" t="str">
        <x:v>S8-07</x:v>
      </x:c>
      <x:c r="C237" s="18" t="n">
        <x:v>8</x:v>
      </x:c>
      <x:c r="D237" s="18" t="str">
        <x:v>EP-09</x:v>
      </x:c>
      <x:c r="E237" s="18" t="str">
        <x:v>Trưởng phòng Nhân sự</x:v>
      </x:c>
      <x:c r="F237" s="18" t="n">
        <x:v>1</x:v>
      </x:c>
      <x:c r="G237" s="18" t="str">
        <x:v>Số ứng viên ở từng giai đoạn và tỷ lệ chuyển đổi giữa các giai đoạn</x:v>
      </x:c>
      <x:c r="H237" s="18" t="str">
        <x:v>4. Product Backlog!F94</x:v>
      </x:c>
      <x:c r="I237" s="18" t="str">
        <x:v>TC-S8-07-01</x:v>
      </x:c>
    </x:row>
    <x:row r="238" ht="61" customHeight="1">
      <x:c r="A238" s="18" t="str">
        <x:v>S8-07-AC02</x:v>
      </x:c>
      <x:c r="B238" s="18" t="str">
        <x:v>S8-07</x:v>
      </x:c>
      <x:c r="C238" s="18" t="n">
        <x:v>8</x:v>
      </x:c>
      <x:c r="D238" s="18" t="str">
        <x:v>EP-09</x:v>
      </x:c>
      <x:c r="E238" s="18" t="str">
        <x:v>Trưởng phòng Nhân sự</x:v>
      </x:c>
      <x:c r="F238" s="18" t="n">
        <x:v>2</x:v>
      </x:c>
      <x:c r="G238" s="18" t="str">
        <x:v>Lọc theo vị trí, phòng ban, khoảng thời gian</x:v>
      </x:c>
      <x:c r="H238" s="18" t="str">
        <x:v>4. Product Backlog!F94</x:v>
      </x:c>
      <x:c r="I238" s="18" t="str">
        <x:v>TC-S8-07-02</x:v>
      </x:c>
    </x:row>
    <x:row r="239" ht="61" customHeight="1">
      <x:c r="A239" s="18" t="str">
        <x:v>S8-07-AC03</x:v>
      </x:c>
      <x:c r="B239" s="18" t="str">
        <x:v>S8-07</x:v>
      </x:c>
      <x:c r="C239" s="18" t="n">
        <x:v>8</x:v>
      </x:c>
      <x:c r="D239" s="18" t="str">
        <x:v>EP-09</x:v>
      </x:c>
      <x:c r="E239" s="18" t="str">
        <x:v>Trưởng phòng Nhân sự</x:v>
      </x:c>
      <x:c r="F239" s="18" t="n">
        <x:v>3</x:v>
      </x:c>
      <x:c r="G239" s="18" t="str">
        <x:v>Chỉ ra giai đoạn rơi rụng nhiều nhất</x:v>
      </x:c>
      <x:c r="H239" s="18" t="str">
        <x:v>4. Product Backlog!F94</x:v>
      </x:c>
      <x:c r="I239" s="18" t="str">
        <x:v>TC-S8-07-03</x:v>
      </x:c>
    </x:row>
    <x:row r="240" ht="61" customHeight="1">
      <x:c r="A240" s="18" t="str">
        <x:v>S8-08-AC01</x:v>
      </x:c>
      <x:c r="B240" s="18" t="str">
        <x:v>S8-08</x:v>
      </x:c>
      <x:c r="C240" s="18" t="n">
        <x:v>8</x:v>
      </x:c>
      <x:c r="D240" s="18" t="str">
        <x:v>EP-09</x:v>
      </x:c>
      <x:c r="E240" s="18" t="str">
        <x:v>Trưởng phòng Nhân sự</x:v>
      </x:c>
      <x:c r="F240" s="18" t="n">
        <x:v>1</x:v>
      </x:c>
      <x:c r="G240" s="18" t="str">
        <x:v>Time-to-hire: số ngày trung bình từ khi duyệt yêu cầu tới khi ứng viên nhận việc</x:v>
      </x:c>
      <x:c r="H240" s="18" t="str">
        <x:v>4. Product Backlog!F95</x:v>
      </x:c>
      <x:c r="I240" s="18" t="str">
        <x:v>TC-S8-08-01</x:v>
      </x:c>
    </x:row>
    <x:row r="241" ht="61" customHeight="1">
      <x:c r="A241" s="18" t="str">
        <x:v>S8-08-AC02</x:v>
      </x:c>
      <x:c r="B241" s="18" t="str">
        <x:v>S8-08</x:v>
      </x:c>
      <x:c r="C241" s="18" t="n">
        <x:v>8</x:v>
      </x:c>
      <x:c r="D241" s="18" t="str">
        <x:v>EP-09</x:v>
      </x:c>
      <x:c r="E241" s="18" t="str">
        <x:v>Trưởng phòng Nhân sự</x:v>
      </x:c>
      <x:c r="F241" s="18" t="n">
        <x:v>2</x:v>
      </x:c>
      <x:c r="G241" s="18" t="str">
        <x:v>Cost-per-hire tính từ chi phí đăng tin và thưởng giới thiệu nhập tay</x:v>
      </x:c>
      <x:c r="H241" s="18" t="str">
        <x:v>4. Product Backlog!F95</x:v>
      </x:c>
      <x:c r="I241" s="18" t="str">
        <x:v>TC-S8-08-02</x:v>
      </x:c>
    </x:row>
    <x:row r="242" ht="61" customHeight="1">
      <x:c r="A242" s="18" t="str">
        <x:v>S8-08-AC03</x:v>
      </x:c>
      <x:c r="B242" s="18" t="str">
        <x:v>S8-08</x:v>
      </x:c>
      <x:c r="C242" s="18" t="n">
        <x:v>8</x:v>
      </x:c>
      <x:c r="D242" s="18" t="str">
        <x:v>EP-09</x:v>
      </x:c>
      <x:c r="E242" s="18" t="str">
        <x:v>Trưởng phòng Nhân sự</x:v>
      </x:c>
      <x:c r="F242" s="18" t="n">
        <x:v>3</x:v>
      </x:c>
      <x:c r="G242" s="18" t="str">
        <x:v>So sánh giữa các phòng ban và giữa các chức danh</x:v>
      </x:c>
      <x:c r="H242" s="18" t="str">
        <x:v>4. Product Backlog!F95</x:v>
      </x:c>
      <x:c r="I242" s="18" t="str">
        <x:v>TC-S8-08-03</x:v>
      </x:c>
    </x:row>
    <x:row r="243" ht="61" customHeight="1">
      <x:c r="A243" s="18" t="str">
        <x:v>S8-08-AC04</x:v>
      </x:c>
      <x:c r="B243" s="18" t="str">
        <x:v>S8-08</x:v>
      </x:c>
      <x:c r="C243" s="18" t="n">
        <x:v>8</x:v>
      </x:c>
      <x:c r="D243" s="18" t="str">
        <x:v>EP-09</x:v>
      </x:c>
      <x:c r="E243" s="18" t="str">
        <x:v>Trưởng phòng Nhân sự</x:v>
      </x:c>
      <x:c r="F243" s="18" t="n">
        <x:v>4</x:v>
      </x:c>
      <x:c r="G243" s="18" t="str">
        <x:v>Xuất Excel</x:v>
      </x:c>
      <x:c r="H243" s="18" t="str">
        <x:v>4. Product Backlog!F95</x:v>
      </x:c>
      <x:c r="I243" s="18" t="str">
        <x:v>TC-S8-08-04</x:v>
      </x:c>
    </x:row>
    <x:row r="244" ht="61" customHeight="1">
      <x:c r="A244" s="18" t="str">
        <x:v>S8-09-AC01</x:v>
      </x:c>
      <x:c r="B244" s="18" t="str">
        <x:v>S8-09</x:v>
      </x:c>
      <x:c r="C244" s="18" t="n">
        <x:v>8</x:v>
      </x:c>
      <x:c r="D244" s="18" t="str">
        <x:v>EP-09</x:v>
      </x:c>
      <x:c r="E244" s="18" t="str">
        <x:v>Trưởng phòng Nhân sự</x:v>
      </x:c>
      <x:c r="F244" s="18" t="n">
        <x:v>1</x:v>
      </x:c>
      <x:c r="G244" s="18" t="str">
        <x:v>Số hồ sơ, tỷ lệ qua sàng lọc và số người nhận việc theo từng nguồn</x:v>
      </x:c>
      <x:c r="H244" s="18" t="str">
        <x:v>4. Product Backlog!F96</x:v>
      </x:c>
      <x:c r="I244" s="18" t="str">
        <x:v>TC-S8-09-01</x:v>
      </x:c>
    </x:row>
    <x:row r="245" ht="61" customHeight="1">
      <x:c r="A245" s="18" t="str">
        <x:v>S8-09-AC02</x:v>
      </x:c>
      <x:c r="B245" s="18" t="str">
        <x:v>S8-09</x:v>
      </x:c>
      <x:c r="C245" s="18" t="n">
        <x:v>8</x:v>
      </x:c>
      <x:c r="D245" s="18" t="str">
        <x:v>EP-09</x:v>
      </x:c>
      <x:c r="E245" s="18" t="str">
        <x:v>Trưởng phòng Nhân sự</x:v>
      </x:c>
      <x:c r="F245" s="18" t="n">
        <x:v>2</x:v>
      </x:c>
      <x:c r="G245" s="18" t="str">
        <x:v>Chỉ ra nguồn nào cho ứng viên chất lượng nhất chứ không chỉ nhiều nhất</x:v>
      </x:c>
      <x:c r="H245" s="18" t="str">
        <x:v>4. Product Backlog!F96</x:v>
      </x:c>
      <x:c r="I245" s="18" t="str">
        <x:v>TC-S8-09-02</x:v>
      </x:c>
    </x:row>
    <x:row r="246" ht="61" customHeight="1">
      <x:c r="A246" s="18" t="str">
        <x:v>S8-09-AC03</x:v>
      </x:c>
      <x:c r="B246" s="18" t="str">
        <x:v>S8-09</x:v>
      </x:c>
      <x:c r="C246" s="18" t="n">
        <x:v>8</x:v>
      </x:c>
      <x:c r="D246" s="18" t="str">
        <x:v>EP-09</x:v>
      </x:c>
      <x:c r="E246" s="18" t="str">
        <x:v>Trưởng phòng Nhân sự</x:v>
      </x:c>
      <x:c r="F246" s="18" t="n">
        <x:v>3</x:v>
      </x:c>
      <x:c r="G246" s="18" t="str">
        <x:v>Xuất Excel</x:v>
      </x:c>
      <x:c r="H246" s="18" t="str">
        <x:v>4. Product Backlog!F96</x:v>
      </x:c>
      <x:c r="I246" s="18" t="str">
        <x:v>TC-S8-09-03</x:v>
      </x:c>
    </x:row>
  </x:sheetData>
  <x:mergeCells>
    <x:mergeCell ref="A1:I1"/>
  </x:mergeCells>
  <x:pageMargins left="0.7" right="0.7" top="0.75" bottom="0.75" header="0.3" footer="0.3"/>
  <x:tableParts count="1">
    <x:tablePart xmlns:r="http://schemas.openxmlformats.org/officeDocument/2006/relationships" r:id="Rf0923dd797b84b88"/>
  </x:tableParts>
</x:worksheet>
</file>

<file path=xl/worksheets/sheet10.xml><?xml version="1.0" encoding="utf-8"?>
<x:worksheet xmlns:x="http://schemas.openxmlformats.org/spreadsheetml/2006/main">
  <x:sheetFormatPr defaultRowHeight="15"/>
  <x:cols>
    <x:col min="1" max="1" width="17" hidden="0" customWidth="1"/>
    <x:col min="2" max="2" width="76" hidden="0" customWidth="1"/>
    <x:col min="3" max="3" width="73" hidden="0" customWidth="1"/>
    <x:col min="4" max="4" width="79" hidden="0" customWidth="1"/>
    <x:col min="5" max="5" width="86" hidden="0" customWidth="1"/>
    <x:col min="6" max="6" width="18" hidden="0" customWidth="1"/>
    <x:col min="7" max="7" width="16" hidden="0" customWidth="1"/>
    <x:col min="8" max="8" width="16" hidden="0" customWidth="1"/>
  </x:cols>
  <x:sheetData>
    <x:row r="1" ht="36" customHeight="1">
      <x:c r="A1" s="6" t="str">
        <x:v>TEST PLAN RÚT GỌN – 8 SPRINT / 1 TUẦN</x:v>
      </x:c>
      <x:c r="B1" s="6"/>
      <x:c r="C1" s="6"/>
      <x:c r="D1" s="6"/>
      <x:c r="E1" s="6"/>
      <x:c r="F1" s="6"/>
      <x:c r="G1" s="6"/>
      <x:c r="H1" s="6"/>
    </x:row>
    <x:row r="3" ht="34" customHeight="1">
      <x:c r="A3" s="13" t="str">
        <x:v>Sprint</x:v>
      </x:c>
      <x:c r="B3" s="13" t="str">
        <x:v>Phạm vi smoke / regression</x:v>
      </x:c>
      <x:c r="C3" s="13" t="str">
        <x:v>Mục tiêu demo</x:v>
      </x:c>
      <x:c r="D3" s="13" t="str">
        <x:v>Đầu vào QA</x:v>
      </x:c>
      <x:c r="E3" s="13" t="str">
        <x:v>Điều kiện đóng QA</x:v>
      </x:c>
      <x:c r="F3" s="13" t="str">
        <x:v>Ưu tiên</x:v>
      </x:c>
    </x:row>
    <x:row r="4" ht="74" customHeight="1">
      <x:c r="A4" s="18" t="n">
        <x:v>1</x:v>
      </x:c>
      <x:c r="B4" s="18" t="str">
        <x:v>Đăng nhập, phiên, RBAC 7 role, quản trị tài khoản</x:v>
      </x:c>
      <x:c r="C4" s="18" t="str">
        <x:v>Đăng nhập đúng role và cắt quyền server</x:v>
      </x:c>
      <x:c r="D4" s="18" t="str">
        <x:v>Tài khoản seed, email sandbox</x:v>
      </x:c>
      <x:c r="E4" s="18" t="str">
        <x:v>Tất cả TC Must S1 đã chạy, không còn blocker cấp quyền</x:v>
      </x:c>
      <x:c r="F4" s="18" t="str">
        <x:v>Critical</x:v>
      </x:c>
    </x:row>
    <x:row r="5" ht="74" customHeight="1">
      <x:c r="A5" s="18" t="n">
        <x:v>2</x:v>
      </x:c>
      <x:c r="B5" s="18" t="str">
        <x:v>Hồ sơ user, phòng ban, chức danh, khung năng lực, REQ nháp</x:v>
      </x:c>
      <x:c r="C5" s="18" t="str">
        <x:v>Có danh mục và một REQ hợp lệ</x:v>
      </x:c>
      <x:c r="D5" s="18" t="str">
        <x:v>DB seed S1; ma trận vai trò</x:v>
      </x:c>
      <x:c r="E5" s="18" t="str">
        <x:v>Không còn bug Major về dải lương/trọng số</x:v>
      </x:c>
      <x:c r="F5" s="18" t="str">
        <x:v>High</x:v>
      </x:c>
    </x:row>
    <x:row r="6" ht="74" customHeight="1">
      <x:c r="A6" s="18" t="n">
        <x:v>3</x:v>
      </x:c>
      <x:c r="B6" s="18" t="str">
        <x:v>Luồng duyệt nhiều cấp, headcount, recruiter assignment, publish</x:v>
      </x:c>
      <x:c r="C6" s="18" t="str">
        <x:v>REQ -&gt; duyệt -&gt; job công khai</x:v>
      </x:c>
      <x:c r="D6" s="18" t="str">
        <x:v>Config cấp duyệt và quota</x:v>
      </x:c>
      <x:c r="E6" s="18" t="str">
        <x:v>Audit đầy đủ, không publish sai quyền</x:v>
      </x:c>
      <x:c r="F6" s="18" t="str">
        <x:v>Critical</x:v>
      </x:c>
    </x:row>
    <x:row r="7" ht="74" customHeight="1">
      <x:c r="A7" s="18" t="n">
        <x:v>4</x:v>
      </x:c>
      <x:c r="B7" s="18" t="str">
        <x:v>Public job, mobile apply, CV, tra cứu, rút, hồ sơ hợp nhất</x:v>
      </x:c>
      <x:c r="C7" s="18" t="str">
        <x:v>Ứng viên 360px nộp CV và tra cứu</x:v>
      </x:c>
      <x:c r="D7" s="18" t="str">
        <x:v>PDF/DOCX test, SMTP sandbox</x:v>
      </x:c>
      <x:c r="E7" s="18" t="str">
        <x:v>Không lộ PII; không upload trùng trái quy tắc</x:v>
      </x:c>
      <x:c r="F7" s="18" t="str">
        <x:v>Critical</x:v>
      </x:c>
    </x:row>
    <x:row r="8" ht="74" customHeight="1">
      <x:c r="A8" s="18" t="n">
        <x:v>5</x:v>
      </x:c>
      <x:c r="B8" s="18" t="str">
        <x:v>Trùng ứng viên, kanban, stage transitions, filter, SLA</x:v>
      </x:c>
      <x:c r="C8" s="18" t="str">
        <x:v>Recruiter thao tác 20 CV trên một màn hình</x:v>
      </x:c>
      <x:c r="D8" s="18" t="str">
        <x:v>20+ CV giả nhiều nguồn</x:v>
      </x:c>
      <x:c r="E8" s="18" t="str">
        <x:v>Không sai stage/audit/quyền job</x:v>
      </x:c>
      <x:c r="F8" s="18" t="str">
        <x:v>High</x:v>
      </x:c>
    </x:row>
    <x:row r="9" ht="74" customHeight="1">
      <x:c r="A9" s="18" t="n">
        <x:v>6</x:v>
      </x:c>
      <x:c r="B9" s="18" t="str">
        <x:v>Schedule, collision, candidate confirm, đánh giá trọng số</x:v>
      </x:c>
      <x:c r="C9" s="18" t="str">
        <x:v>Đặt lịch thành công và có phiếu nộp</x:v>
      </x:c>
      <x:c r="D9" s="18" t="str">
        <x:v>Phòng họp/người phỏng vấn/scorecard</x:v>
      </x:c>
      <x:c r="E9" s="18" t="str">
        <x:v>Không double-book; tính điểm đúng</x:v>
      </x:c>
      <x:c r="F9" s="18" t="str">
        <x:v>Critical</x:v>
      </x:c>
    </x:row>
    <x:row r="10" ht="74" customHeight="1">
      <x:c r="A10" s="18" t="n">
        <x:v>7</x:v>
      </x:c>
      <x:c r="B10" s="18" t="str">
        <x:v>Decision, approval offer, candidate response, onboarding</x:v>
      </x:c>
      <x:c r="C10" s="18" t="str">
        <x:v>Một offer được duyệt và nhận việc</x:v>
      </x:c>
      <x:c r="D10" s="18" t="str">
        <x:v>Offer trong/vượt dải và checklist</x:v>
      </x:c>
      <x:c r="E10" s="18" t="str">
        <x:v>Không gửi offer khi chưa duyệt; không 2 offer hiệu lực</x:v>
      </x:c>
      <x:c r="F10" s="18" t="str">
        <x:v>Critical</x:v>
      </x:c>
    </x:row>
    <x:row r="11" ht="74" customHeight="1">
      <x:c r="A11" s="18" t="n">
        <x:v>8</x:v>
      </x:c>
      <x:c r="B11" s="18" t="str">
        <x:v>Email queue, notification, dashboard, funnel, cost/source</x:v>
      </x:c>
      <x:c r="C11" s="18" t="str">
        <x:v>Số liệu pilot khớp báo cáo và mail đúng</x:v>
      </x:c>
      <x:c r="D11" s="18" t="str">
        <x:v>Dữ liệu 12 tuần, SMTP test</x:v>
      </x:c>
      <x:c r="E11" s="18" t="str">
        <x:v>0 Critical/Major; E2E pilot toàn luồng Pass</x:v>
      </x:c>
      <x:c r="F11" s="18" t="str">
        <x:v>Critical</x:v>
      </x:c>
    </x:row>
    <x:row r="14" ht="34" customHeight="1">
      <x:c r="A14" s="13" t="str">
        <x:v>Hạng mục</x:v>
      </x:c>
      <x:c r="B14" s="13" t="str">
        <x:v>Entry criteria</x:v>
      </x:c>
      <x:c r="C14" s="13" t="str">
        <x:v>Exit criteria</x:v>
      </x:c>
      <x:c r="D14" s="13" t="str">
        <x:v>Bằng chứng</x:v>
      </x:c>
    </x:row>
    <x:row r="15" ht="51" customHeight="1">
      <x:c r="A15" s="18" t="str">
        <x:v>Test design</x:v>
      </x:c>
      <x:c r="B15" s="18" t="str">
        <x:v>Story Ready, AC đã chốt, prototype/API contract</x:v>
      </x:c>
      <x:c r="C15" s="18" t="str">
        <x:v>100% AC có ít nhất 1 TC</x:v>
      </x:c>
      <x:c r="D15" s="18" t="str">
        <x:v>Sheet 03_RTM</x:v>
      </x:c>
    </x:row>
    <x:row r="16" ht="51" customHeight="1">
      <x:c r="A16" s="18" t="str">
        <x:v>Functional</x:v>
      </x:c>
      <x:c r="B16" s="18" t="str">
        <x:v>Build deploy staging, fixture sẵn</x:v>
      </x:c>
      <x:c r="C16" s="18" t="str">
        <x:v>Must TC đã chạy; bug được phân loại</x:v>
      </x:c>
      <x:c r="D16" s="18" t="str">
        <x:v>02_Test_Cases + Bug_Log</x:v>
      </x:c>
    </x:row>
    <x:row r="17" ht="51" customHeight="1">
      <x:c r="A17" s="18" t="str">
        <x:v>Security</x:v>
      </x:c>
      <x:c r="B17" s="18" t="str">
        <x:v>Ma trận RBAC, các tài khoản sở hữu chéo</x:v>
      </x:c>
      <x:c r="C17" s="18" t="str">
        <x:v>Không có Critical liên quan IDOR/auth/PII</x:v>
      </x:c>
      <x:c r="D17" s="18" t="str">
        <x:v>API logs + report</x:v>
      </x:c>
    </x:row>
    <x:row r="18" ht="51" customHeight="1">
      <x:c r="A18" s="18" t="str">
        <x:v>Integration</x:v>
      </x:c>
      <x:c r="B18" s="18" t="str">
        <x:v>SMTP sandbox / DB / storage hoạt động</x:v>
      </x:c>
      <x:c r="C18" s="18" t="str">
        <x:v>Luồng mail, API, DB nhất quán</x:v>
      </x:c>
      <x:c r="D18" s="18" t="str">
        <x:v>E2E screenshots + logs</x:v>
      </x:c>
    </x:row>
    <x:row r="19" ht="51" customHeight="1">
      <x:c r="A19" s="18" t="str">
        <x:v>Performance</x:v>
      </x:c>
      <x:c r="B19" s="18" t="str">
        <x:v>20k CV / 200 jobs, môi trường chuẩn</x:v>
      </x:c>
      <x:c r="C19" s="18" t="str">
        <x:v>Đạt ngưỡng PO xác nhận</x:v>
      </x:c>
      <x:c r="D19" s="18" t="str">
        <x:v>Load report</x:v>
      </x:c>
    </x:row>
    <x:row r="20" ht="51" customHeight="1">
      <x:c r="A20" s="18" t="str">
        <x:v>Regression</x:v>
      </x:c>
      <x:c r="B20" s="18" t="str">
        <x:v>Code review/CI xanh, fix bug đã merge</x:v>
      </x:c>
      <x:c r="C20" s="18" t="str">
        <x:v>Pass lại TC bị ảnh hưởng và smoke</x:v>
      </x:c>
      <x:c r="D20" s="18" t="str">
        <x:v>CI + 02_Test_Cases</x:v>
      </x:c>
    </x:row>
    <x:row r="21" ht="51" customHeight="1">
      <x:c r="A21" s="18" t="str">
        <x:v>UAT</x:v>
      </x:c>
      <x:c r="B21" s="18" t="str">
        <x:v>8 luồng E2E deploy staging</x:v>
      </x:c>
      <x:c r="C21" s="18" t="str">
        <x:v>PO ký nhận hoặc ghi blocker</x:v>
      </x:c>
      <x:c r="D21" s="18" t="str">
        <x:v>04_E2E_UAT</x:v>
      </x:c>
    </x:row>
    <x:row r="24" ht="34" customHeight="1">
      <x:c r="A24" s="13" t="str">
        <x:v>Severity</x:v>
      </x:c>
      <x:c r="B24" s="13" t="str">
        <x:v>Định nghĩa</x:v>
      </x:c>
      <x:c r="C24" s="13" t="str">
        <x:v>Hướng xử lý</x:v>
      </x:c>
      <x:c r="D24" s="13" t="str">
        <x:v>Ví dụ</x:v>
      </x:c>
    </x:row>
    <x:row r="25" ht="51" customHeight="1">
      <x:c r="A25" s="18" t="str">
        <x:v>Critical</x:v>
      </x:c>
      <x:c r="B25" s="18" t="str">
        <x:v>Lộ PII/vượt quyền, mất dữ liệu, không thể hoàn thành luồng chính</x:v>
      </x:c>
      <x:c r="C25" s="18" t="str">
        <x:v>Chặn release</x:v>
      </x:c>
      <x:c r="D25" s="18" t="str">
        <x:v>Recruiter đọc CV job khác</x:v>
      </x:c>
    </x:row>
    <x:row r="26" ht="51" customHeight="1">
      <x:c r="A26" s="18" t="str">
        <x:v>Major</x:v>
      </x:c>
      <x:c r="B26" s="18" t="str">
        <x:v>Sai nghiệp vụ chính nhưng có cách đi vòng tạm</x:v>
      </x:c>
      <x:c r="C26" s="18" t="str">
        <x:v>Sửa trước demo/PO nghiệm thu</x:v>
      </x:c>
      <x:c r="D26" s="18" t="str">
        <x:v>Offer vượt dải không duyệt cao</x:v>
      </x:c>
    </x:row>
    <x:row r="27" ht="51" customHeight="1">
      <x:c r="A27" s="18" t="str">
        <x:v>Minor</x:v>
      </x:c>
      <x:c r="B27" s="18" t="str">
        <x:v>Sai UI/logic phụ không ảnh hưởng an toàn dữ liệu</x:v>
      </x:c>
      <x:c r="C27" s="18" t="str">
        <x:v>Ghi sprint backlog</x:v>
      </x:c>
      <x:c r="D27" s="18" t="str">
        <x:v>Bộ lọc mất trạng thái sau reload</x:v>
      </x:c>
    </x:row>
    <x:row r="28" ht="51" customHeight="1">
      <x:c r="A28" s="18" t="str">
        <x:v>Trivial</x:v>
      </x:c>
      <x:c r="B28" s="18" t="str">
        <x:v>Thẩm mỹ/chính tả ít tác động</x:v>
      </x:c>
      <x:c r="C28" s="18" t="str">
        <x:v>Xử lý theo năng lực sprint</x:v>
      </x:c>
      <x:c r="D28" s="18" t="str">
        <x:v>Khoảng cách icon</x:v>
      </x:c>
    </x:row>
  </x:sheetData>
  <x:mergeCells>
    <x:mergeCell ref="A1:H1"/>
  </x:mergeCells>
  <x:pageMargins left="0.7" right="0.7" top="0.75" bottom="0.75" header="0.3" footer="0.3"/>
</x:worksheet>
</file>